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uli\Excel\Stat\"/>
    </mc:Choice>
  </mc:AlternateContent>
  <bookViews>
    <workbookView xWindow="480" yWindow="60" windowWidth="18192" windowHeight="8508" activeTab="1"/>
  </bookViews>
  <sheets>
    <sheet name="12_G" sheetId="4" r:id="rId1"/>
    <sheet name="Napló" sheetId="1" r:id="rId2"/>
    <sheet name="Igazolványok" sheetId="9" r:id="rId3"/>
    <sheet name="A hét" sheetId="7" r:id="rId4"/>
    <sheet name="B hét" sheetId="6" r:id="rId5"/>
    <sheet name="I. Félév" sheetId="10" r:id="rId6"/>
    <sheet name="12_félév" sheetId="13" r:id="rId7"/>
    <sheet name="Munka1" sheetId="14" r:id="rId8"/>
  </sheets>
  <calcPr calcId="162913"/>
</workbook>
</file>

<file path=xl/calcChain.xml><?xml version="1.0" encoding="utf-8"?>
<calcChain xmlns="http://schemas.openxmlformats.org/spreadsheetml/2006/main">
  <c r="Q22" i="14" l="1"/>
  <c r="P22" i="14"/>
  <c r="N22" i="14"/>
  <c r="M22" i="14"/>
  <c r="L22" i="14"/>
  <c r="K22" i="14"/>
  <c r="J22" i="14"/>
  <c r="I22" i="14"/>
  <c r="H22" i="14"/>
  <c r="G22" i="14"/>
  <c r="F22" i="14"/>
  <c r="E22" i="14"/>
  <c r="D22" i="14"/>
  <c r="C22" i="14"/>
  <c r="O21" i="14"/>
  <c r="O20" i="14"/>
  <c r="O18" i="14"/>
  <c r="O16" i="14"/>
  <c r="O14" i="14"/>
  <c r="O13" i="14"/>
  <c r="O12" i="14"/>
  <c r="O10" i="14"/>
  <c r="O9" i="14"/>
  <c r="O8" i="14"/>
  <c r="O7" i="14"/>
  <c r="O6" i="14"/>
  <c r="O5" i="14"/>
  <c r="O4" i="14"/>
  <c r="O3" i="14"/>
  <c r="O2" i="14"/>
  <c r="O22" i="14" s="1"/>
  <c r="Q22" i="13" l="1"/>
  <c r="P22" i="13"/>
  <c r="D22" i="13"/>
  <c r="E22" i="13"/>
  <c r="F22" i="13"/>
  <c r="G22" i="13"/>
  <c r="H22" i="13"/>
  <c r="I22" i="13"/>
  <c r="J22" i="13"/>
  <c r="K22" i="13"/>
  <c r="L22" i="13"/>
  <c r="M22" i="13"/>
  <c r="N22" i="13"/>
  <c r="C22" i="13"/>
  <c r="O3" i="13"/>
  <c r="O22" i="13" s="1"/>
  <c r="O4" i="13"/>
  <c r="O5" i="13"/>
  <c r="O6" i="13"/>
  <c r="O7" i="13"/>
  <c r="O8" i="13"/>
  <c r="O9" i="13"/>
  <c r="O10" i="13"/>
  <c r="O12" i="13"/>
  <c r="O13" i="13"/>
  <c r="O14" i="13"/>
  <c r="O16" i="13"/>
  <c r="O18" i="13"/>
  <c r="O20" i="13"/>
  <c r="O21" i="13"/>
  <c r="O2" i="13"/>
  <c r="C15" i="6" l="1"/>
  <c r="D15" i="6"/>
  <c r="E15" i="6"/>
  <c r="F15" i="6"/>
  <c r="B15" i="6"/>
  <c r="G15" i="6" l="1"/>
  <c r="F18" i="7"/>
  <c r="E18" i="7"/>
  <c r="D18" i="7"/>
  <c r="C18" i="7"/>
  <c r="B18" i="7"/>
  <c r="G18" i="7" l="1"/>
  <c r="O37" i="10"/>
  <c r="P36" i="10"/>
  <c r="N37" i="10"/>
  <c r="M37" i="10"/>
  <c r="L37" i="10"/>
  <c r="K37" i="10"/>
  <c r="J37" i="10"/>
  <c r="I37" i="10"/>
  <c r="H37" i="10"/>
  <c r="F37" i="10"/>
  <c r="E37" i="10"/>
  <c r="D37" i="10"/>
  <c r="C37" i="10"/>
  <c r="B37" i="10"/>
  <c r="S37" i="10" l="1"/>
  <c r="T37" i="10" s="1"/>
  <c r="P35" i="10"/>
  <c r="P34" i="10"/>
  <c r="P33" i="10"/>
  <c r="P32" i="10"/>
  <c r="P31" i="10"/>
  <c r="P30" i="10"/>
  <c r="P29" i="10"/>
  <c r="P28" i="10"/>
  <c r="P27" i="10"/>
  <c r="P26" i="10"/>
  <c r="P25" i="10"/>
  <c r="P24" i="10"/>
  <c r="P23" i="10"/>
  <c r="P22" i="10"/>
  <c r="P21" i="10"/>
  <c r="P20" i="10"/>
  <c r="P19" i="10"/>
  <c r="P18" i="10"/>
  <c r="P17" i="10"/>
  <c r="P16" i="10"/>
  <c r="P15" i="10"/>
  <c r="P14" i="10"/>
  <c r="P13" i="10"/>
  <c r="P12" i="10"/>
  <c r="P11" i="10"/>
  <c r="P10" i="10"/>
  <c r="P9" i="10"/>
  <c r="P8" i="10"/>
  <c r="P7" i="10"/>
  <c r="P6" i="10"/>
  <c r="P5" i="10"/>
  <c r="P4" i="10"/>
  <c r="P3" i="10"/>
  <c r="P2" i="10"/>
  <c r="G37" i="10"/>
  <c r="P37" i="10" s="1"/>
  <c r="Q38" i="10"/>
</calcChain>
</file>

<file path=xl/sharedStrings.xml><?xml version="1.0" encoding="utf-8"?>
<sst xmlns="http://schemas.openxmlformats.org/spreadsheetml/2006/main" count="768" uniqueCount="303">
  <si>
    <t>Név</t>
  </si>
  <si>
    <t>Lakhely</t>
  </si>
  <si>
    <t xml:space="preserve">Lakcím </t>
  </si>
  <si>
    <t>Gondviselő neve</t>
  </si>
  <si>
    <t>Anyja neve</t>
  </si>
  <si>
    <t>Diák ig. szám</t>
  </si>
  <si>
    <t>TAJ-szám</t>
  </si>
  <si>
    <t>Szem. Ig. szám</t>
  </si>
  <si>
    <t>Tel. Szám</t>
  </si>
  <si>
    <t>Czézár Nikoletta</t>
  </si>
  <si>
    <t>Debreczeni Márk</t>
  </si>
  <si>
    <t>Decsi Richárd</t>
  </si>
  <si>
    <t>Erdélyi Viktória</t>
  </si>
  <si>
    <t>Fejes Viktória</t>
  </si>
  <si>
    <t>Fodor Péter</t>
  </si>
  <si>
    <t>Für Bálint</t>
  </si>
  <si>
    <t>Gaál Balázs</t>
  </si>
  <si>
    <t>Gere Enikő Bianka</t>
  </si>
  <si>
    <t>György Letícia</t>
  </si>
  <si>
    <t>Király Alexandra</t>
  </si>
  <si>
    <t>Kiss Alexandra</t>
  </si>
  <si>
    <t>Kiss Eszter I.</t>
  </si>
  <si>
    <t>Kiss Eszter II.</t>
  </si>
  <si>
    <t>Kocsis Fanni</t>
  </si>
  <si>
    <t>Kolompár Klaudia</t>
  </si>
  <si>
    <t>Málics László</t>
  </si>
  <si>
    <t>Marencsák Petra</t>
  </si>
  <si>
    <t>Molnár Brigitta</t>
  </si>
  <si>
    <t>Molnár Imre Károly</t>
  </si>
  <si>
    <t>Németh Nikolett</t>
  </si>
  <si>
    <t>Németh Vivien</t>
  </si>
  <si>
    <t>Nyevzglagyenkó Tamás</t>
  </si>
  <si>
    <t>Reng Gabriella</t>
  </si>
  <si>
    <t>Scheidel Viktor</t>
  </si>
  <si>
    <t>Stokinger Viktória</t>
  </si>
  <si>
    <t>Strasszer Éva</t>
  </si>
  <si>
    <t xml:space="preserve">Szabó Rita Zsuzsanna </t>
  </si>
  <si>
    <t>Szente Nikolett</t>
  </si>
  <si>
    <t>Torma Anikó</t>
  </si>
  <si>
    <t>Varjas Tamara</t>
  </si>
  <si>
    <t>Vida Bianka Mónika</t>
  </si>
  <si>
    <t>Vizvári Balázs</t>
  </si>
  <si>
    <t>Völgyi Rita Györgyi</t>
  </si>
  <si>
    <t>Hétfő</t>
  </si>
  <si>
    <t>Kedd</t>
  </si>
  <si>
    <t>Szerda</t>
  </si>
  <si>
    <t>Csütörtök</t>
  </si>
  <si>
    <t>Péntek</t>
  </si>
  <si>
    <t>10.A</t>
  </si>
  <si>
    <t>9.A</t>
  </si>
  <si>
    <t>Káloz</t>
  </si>
  <si>
    <t>Székesfehérvár</t>
  </si>
  <si>
    <t>Selyem utca 1.</t>
  </si>
  <si>
    <t>Hegyi Ildikó</t>
  </si>
  <si>
    <t>724896KA</t>
  </si>
  <si>
    <t>Kőszárhegy</t>
  </si>
  <si>
    <t>Fő út. 188</t>
  </si>
  <si>
    <t>Erdélyi Judit</t>
  </si>
  <si>
    <t>300652JA</t>
  </si>
  <si>
    <t>840590 JA</t>
  </si>
  <si>
    <t>Gárdony</t>
  </si>
  <si>
    <t>Szabadság u. 30 1/14.</t>
  </si>
  <si>
    <t>Fodor István</t>
  </si>
  <si>
    <t>603953JA</t>
  </si>
  <si>
    <t>Sarló u. 11/b 10.em. 28 ajt.</t>
  </si>
  <si>
    <t>Für Attila</t>
  </si>
  <si>
    <t>Kiss Zsuzsanna</t>
  </si>
  <si>
    <t>326698JA</t>
  </si>
  <si>
    <t>Seregélyesi Út 41.</t>
  </si>
  <si>
    <t>Gaál Dénes</t>
  </si>
  <si>
    <t>Szűcs Gabriellar</t>
  </si>
  <si>
    <t>142553KA</t>
  </si>
  <si>
    <t>Budapest</t>
  </si>
  <si>
    <t xml:space="preserve">Gőzmozdony utca 20 4/17 </t>
  </si>
  <si>
    <t>Farkas Róbertné</t>
  </si>
  <si>
    <t>Villás Tímea</t>
  </si>
  <si>
    <t>161421LA</t>
  </si>
  <si>
    <t>Füle</t>
  </si>
  <si>
    <t>Dózsa György u. 6</t>
  </si>
  <si>
    <t>Horváth Julianna</t>
  </si>
  <si>
    <t>674488JA</t>
  </si>
  <si>
    <t>Seregélyes</t>
  </si>
  <si>
    <t>Bethlen Gábor u 4</t>
  </si>
  <si>
    <t>Kiss Andrea</t>
  </si>
  <si>
    <t>304188JA</t>
  </si>
  <si>
    <t>Kossuth L. u 11</t>
  </si>
  <si>
    <t>Czézár László</t>
  </si>
  <si>
    <t>Pál Erzsébet</t>
  </si>
  <si>
    <t>316224JA</t>
  </si>
  <si>
    <t>Kiss Tibor</t>
  </si>
  <si>
    <t>Repka Tímea</t>
  </si>
  <si>
    <t>934568 JA</t>
  </si>
  <si>
    <t xml:space="preserve">Székesfehérvár </t>
  </si>
  <si>
    <t>Király Zoltán</t>
  </si>
  <si>
    <t>381584JA</t>
  </si>
  <si>
    <t>Hübner András 6.3/6</t>
  </si>
  <si>
    <t>Kolompár Attila</t>
  </si>
  <si>
    <t>Szűcs Rozális</t>
  </si>
  <si>
    <t>488448JA</t>
  </si>
  <si>
    <t>Sarló u 10 10/37</t>
  </si>
  <si>
    <t>Halbléner Hajnalka</t>
  </si>
  <si>
    <t>820549JA</t>
  </si>
  <si>
    <t>Ady Endre 4</t>
  </si>
  <si>
    <t>304235JA</t>
  </si>
  <si>
    <t>Köfém LTP.17 4/30</t>
  </si>
  <si>
    <t>Nagy Erzsébet</t>
  </si>
  <si>
    <t>944421JA</t>
  </si>
  <si>
    <t>Lepsény</t>
  </si>
  <si>
    <t>Posta utca 13</t>
  </si>
  <si>
    <t>Vida Mónika</t>
  </si>
  <si>
    <t>Mór</t>
  </si>
  <si>
    <t>Trenka Szabolcs</t>
  </si>
  <si>
    <t>Sárosdi Tímea</t>
  </si>
  <si>
    <t>981437JA</t>
  </si>
  <si>
    <t>Bástya u. 3</t>
  </si>
  <si>
    <t>Kocsis Mihály</t>
  </si>
  <si>
    <t>Rauf Krisztina</t>
  </si>
  <si>
    <t>427102KA</t>
  </si>
  <si>
    <t>Rádió u.13/b</t>
  </si>
  <si>
    <t>Stokinger Ferencné</t>
  </si>
  <si>
    <t>745467JA</t>
  </si>
  <si>
    <t>607278JA</t>
  </si>
  <si>
    <t>Vértes u.35</t>
  </si>
  <si>
    <t>Németh Gyöngyi</t>
  </si>
  <si>
    <t>442231KA</t>
  </si>
  <si>
    <t>Pusztaegres</t>
  </si>
  <si>
    <t>Vámosi Anikó</t>
  </si>
  <si>
    <t>948988KA</t>
  </si>
  <si>
    <t>Csenki Éva</t>
  </si>
  <si>
    <t>Strasszer István</t>
  </si>
  <si>
    <t>800377JA</t>
  </si>
  <si>
    <t>553770JA</t>
  </si>
  <si>
    <t>Bartos Hortváth Andrea</t>
  </si>
  <si>
    <t>Szente Árpád</t>
  </si>
  <si>
    <t>Deák Ferenc utca 10</t>
  </si>
  <si>
    <t>Bóka Erzsébet</t>
  </si>
  <si>
    <t>Szabó Gyula</t>
  </si>
  <si>
    <t>Takács Zsuzsanna</t>
  </si>
  <si>
    <t>742852JA</t>
  </si>
  <si>
    <t>Klima Szilvia</t>
  </si>
  <si>
    <t>Kolozsvári u.7.</t>
  </si>
  <si>
    <t>Baracska</t>
  </si>
  <si>
    <t>Jancsár u. 46</t>
  </si>
  <si>
    <t>Sárbogárd</t>
  </si>
  <si>
    <t>Dobó István u. 4</t>
  </si>
  <si>
    <t>Varjas Pál</t>
  </si>
  <si>
    <t>Czakó Katalin</t>
  </si>
  <si>
    <t>423642KA</t>
  </si>
  <si>
    <t>Csősz</t>
  </si>
  <si>
    <t>Bartok Béla út 17.</t>
  </si>
  <si>
    <t>Pál Mária</t>
  </si>
  <si>
    <t>242264JA</t>
  </si>
  <si>
    <t>Sütő utca 40 2/11</t>
  </si>
  <si>
    <t>Molnár Imre</t>
  </si>
  <si>
    <t>Tóth Gyöngyi</t>
  </si>
  <si>
    <t>188578KA</t>
  </si>
  <si>
    <t>Vásárhelyi út 13/b</t>
  </si>
  <si>
    <t>Mezei Ágnes</t>
  </si>
  <si>
    <t>112002PA</t>
  </si>
  <si>
    <t>Szabó Ádámné</t>
  </si>
  <si>
    <t>Szabó Csilla</t>
  </si>
  <si>
    <t>Polgárdi</t>
  </si>
  <si>
    <t>Viola Alexandra</t>
  </si>
  <si>
    <t>Be</t>
  </si>
  <si>
    <t>Ki</t>
  </si>
  <si>
    <t>Time</t>
  </si>
  <si>
    <t>Születési hely</t>
  </si>
  <si>
    <t>Születési idő</t>
  </si>
  <si>
    <t>Ir. szám</t>
  </si>
  <si>
    <t>Kollégium</t>
  </si>
  <si>
    <t>066625KA</t>
  </si>
  <si>
    <t>Tóvárosi Lkn.7. Fszt.1</t>
  </si>
  <si>
    <t>Kurucz Anita</t>
  </si>
  <si>
    <t>Molnár István</t>
  </si>
  <si>
    <t>608102LA</t>
  </si>
  <si>
    <t>Szentes</t>
  </si>
  <si>
    <t>Nemes Nagy Ágnes Kollégium. Gyümölcs utca 13</t>
  </si>
  <si>
    <t>Szabadszállás</t>
  </si>
  <si>
    <t>Miskolc</t>
  </si>
  <si>
    <t>Cserhát út. 27</t>
  </si>
  <si>
    <t>Solt</t>
  </si>
  <si>
    <t>Lehel.u.34</t>
  </si>
  <si>
    <t>Fejes György</t>
  </si>
  <si>
    <t>Zsoldos Éva</t>
  </si>
  <si>
    <t>Kelemen Béla út. 18. 3/3.</t>
  </si>
  <si>
    <t>Mihályi Erika Mária</t>
  </si>
  <si>
    <t>835668IA</t>
  </si>
  <si>
    <t>Buda Gyöngyi</t>
  </si>
  <si>
    <t>303402JA</t>
  </si>
  <si>
    <t>Arany János u 2/a</t>
  </si>
  <si>
    <t>Domonkos Annamária</t>
  </si>
  <si>
    <t>Tóvárosi lkn. 67. 4/1</t>
  </si>
  <si>
    <t>Bakonycsernye</t>
  </si>
  <si>
    <t xml:space="preserve">Székesfehérvár      </t>
  </si>
  <si>
    <t>Herczeg Ildikó</t>
  </si>
  <si>
    <t>József A. u. 2/a</t>
  </si>
  <si>
    <t>Viola Júlia Viola</t>
  </si>
  <si>
    <t>Várpalota</t>
  </si>
  <si>
    <t>Kelemen Béla út. 65. 2/10</t>
  </si>
  <si>
    <t>ua.</t>
  </si>
  <si>
    <t>Vörösmarty utca 44</t>
  </si>
  <si>
    <t>671202JA</t>
  </si>
  <si>
    <t>Schvégruha Alexandra</t>
  </si>
  <si>
    <t>Temesvári utca 44.</t>
  </si>
  <si>
    <t>Weisz Timea</t>
  </si>
  <si>
    <t>683704JA</t>
  </si>
  <si>
    <t>2 óra</t>
  </si>
  <si>
    <t>Of tevékenység :</t>
  </si>
  <si>
    <t xml:space="preserve">Helyettesítésra fordítható:  </t>
  </si>
  <si>
    <t>Fogadóóra:</t>
  </si>
  <si>
    <t>1 óra</t>
  </si>
  <si>
    <t xml:space="preserve"> 1 óra</t>
  </si>
  <si>
    <t>Tanulói teljesítmény értékelése:</t>
  </si>
  <si>
    <t>Tanórák előkészítése:</t>
  </si>
  <si>
    <t>Kiss Gyula János</t>
  </si>
  <si>
    <t>Tóth Tibor</t>
  </si>
  <si>
    <t>Rendszeres gy. V. kedvezmény</t>
  </si>
  <si>
    <t>*</t>
  </si>
  <si>
    <t>BTM</t>
  </si>
  <si>
    <t>Schvégruha Ferenc</t>
  </si>
  <si>
    <t>Petőfi S. út 11</t>
  </si>
  <si>
    <t>Esze Tamás út 26</t>
  </si>
  <si>
    <t>JAK</t>
  </si>
  <si>
    <t>Torma József</t>
  </si>
  <si>
    <t>Györgyi Gabriella</t>
  </si>
  <si>
    <t xml:space="preserve">Magatartás </t>
  </si>
  <si>
    <t>Szorgalom</t>
  </si>
  <si>
    <t>M. Nyelv</t>
  </si>
  <si>
    <t>Irodalom</t>
  </si>
  <si>
    <t>Történelem</t>
  </si>
  <si>
    <t>Német</t>
  </si>
  <si>
    <t>Angol</t>
  </si>
  <si>
    <t>Matek</t>
  </si>
  <si>
    <t>Fizika</t>
  </si>
  <si>
    <t>Biológia</t>
  </si>
  <si>
    <t>Földrajz</t>
  </si>
  <si>
    <t>Tesi</t>
  </si>
  <si>
    <t>Inf</t>
  </si>
  <si>
    <t>Társ. Ism</t>
  </si>
  <si>
    <t>Átlag</t>
  </si>
  <si>
    <t>Ig.+</t>
  </si>
  <si>
    <t>Ig.-</t>
  </si>
  <si>
    <t>Kiss Eszter</t>
  </si>
  <si>
    <t>Székesfehérvári</t>
  </si>
  <si>
    <t>Lány</t>
  </si>
  <si>
    <t>Bejáró</t>
  </si>
  <si>
    <t>Kollégista</t>
  </si>
  <si>
    <t>Összlétszám</t>
  </si>
  <si>
    <t>12.G 35</t>
  </si>
  <si>
    <t>9.B  43</t>
  </si>
  <si>
    <t>9.A 5</t>
  </si>
  <si>
    <t>9.B 5</t>
  </si>
  <si>
    <t>12.G 5</t>
  </si>
  <si>
    <t>12.G 55</t>
  </si>
  <si>
    <t>9.D 5</t>
  </si>
  <si>
    <t>9.E 5</t>
  </si>
  <si>
    <t>12.G 51</t>
  </si>
  <si>
    <t>9.B 53</t>
  </si>
  <si>
    <t>12.A 5</t>
  </si>
  <si>
    <t>12.G 53</t>
  </si>
  <si>
    <t>10.A 5</t>
  </si>
  <si>
    <t>OF 51</t>
  </si>
  <si>
    <t>11.C 6</t>
  </si>
  <si>
    <t xml:space="preserve">10.A </t>
  </si>
  <si>
    <t>A hét</t>
  </si>
  <si>
    <t>Csilla</t>
  </si>
  <si>
    <t>B hét 26 óra</t>
  </si>
  <si>
    <t>9.B 46</t>
  </si>
  <si>
    <t>9.B</t>
  </si>
  <si>
    <t>Of 36</t>
  </si>
  <si>
    <t>11.C</t>
  </si>
  <si>
    <t>12.G 36</t>
  </si>
  <si>
    <t>12.G</t>
  </si>
  <si>
    <t>12.A</t>
  </si>
  <si>
    <t>9.E</t>
  </si>
  <si>
    <t>9.B 43</t>
  </si>
  <si>
    <t>12.G 47</t>
  </si>
  <si>
    <t>9.D</t>
  </si>
  <si>
    <t>10.A inf</t>
  </si>
  <si>
    <t>11.D</t>
  </si>
  <si>
    <t>Laci</t>
  </si>
  <si>
    <t>Magatartás</t>
  </si>
  <si>
    <t>Magyar nelv</t>
  </si>
  <si>
    <t>Matematika</t>
  </si>
  <si>
    <t>Informatika</t>
  </si>
  <si>
    <t>Testnevelés</t>
  </si>
  <si>
    <t>Igazolt</t>
  </si>
  <si>
    <t>Igazolatlan</t>
  </si>
  <si>
    <t xml:space="preserve">tantárgy </t>
  </si>
  <si>
    <t>magyar nyelv</t>
  </si>
  <si>
    <t>irodalom</t>
  </si>
  <si>
    <t>angol</t>
  </si>
  <si>
    <t>német</t>
  </si>
  <si>
    <t>matematika</t>
  </si>
  <si>
    <t>történelem</t>
  </si>
  <si>
    <t>etika</t>
  </si>
  <si>
    <t>biológia</t>
  </si>
  <si>
    <t>fizika</t>
  </si>
  <si>
    <t>kémia</t>
  </si>
  <si>
    <t>földrajz</t>
  </si>
  <si>
    <t>informatika</t>
  </si>
  <si>
    <t>testnevelés</t>
  </si>
  <si>
    <t xml:space="preserve">átlag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</si>
</sst>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#,##0&quot; óra&quot;"/>
  </numFmts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3" fontId="0" fillId="0" borderId="0" xfId="0" applyNumberFormat="1"/>
    <xf numFmtId="0" fontId="1" fillId="0" borderId="0" xfId="0" applyFont="1"/>
    <xf numFmtId="14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Font="1"/>
    <xf numFmtId="0" fontId="0" fillId="0" borderId="0" xfId="0" applyAlignment="1">
      <alignment vertical="top"/>
    </xf>
    <xf numFmtId="164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NumberFormat="1"/>
    <xf numFmtId="165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628650</xdr:colOff>
      <xdr:row>20</xdr:row>
      <xdr:rowOff>109537</xdr:rowOff>
    </xdr:from>
    <xdr:ext cx="914400" cy="6090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Szövegdoboz 1"/>
            <xdr:cNvSpPr txBox="1"/>
          </xdr:nvSpPr>
          <xdr:spPr>
            <a:xfrm>
              <a:off x="14611350" y="3919537"/>
              <a:ext cx="914400" cy="609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a:fld id="{A5E11D2D-F2C4-4DD6-ABAD-CD33722FC331}" type="mathplaceholder">
                      <a:rPr lang="hu-HU" sz="1100" i="1">
                        <a:latin typeface="Cambria Math"/>
                      </a:rPr>
                      <a:t>Írja be az egyenletet ide</a:t>
                    </a:fld>
                  </m:oMath>
                </m:oMathPara>
              </a14:m>
              <a:endParaRPr lang="hu-HU" sz="1100"/>
            </a:p>
          </xdr:txBody>
        </xdr:sp>
      </mc:Choice>
      <mc:Fallback xmlns="">
        <xdr:sp macro="" textlink="">
          <xdr:nvSpPr>
            <xdr:cNvPr id="2" name="Szövegdoboz 1"/>
            <xdr:cNvSpPr txBox="1"/>
          </xdr:nvSpPr>
          <xdr:spPr>
            <a:xfrm>
              <a:off x="14611350" y="3919537"/>
              <a:ext cx="914400" cy="609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hu-HU" sz="1100" i="0">
                  <a:latin typeface="Cambria Math"/>
                </a:rPr>
                <a:t>"Írja be az egyenletet ide"</a:t>
              </a:r>
              <a:endParaRPr lang="hu-HU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O33"/>
  <sheetViews>
    <sheetView workbookViewId="0">
      <pane xSplit="6" ySplit="13" topLeftCell="K14" activePane="bottomRight" state="frozen"/>
      <selection pane="topRight" activeCell="G1" sqref="G1"/>
      <selection pane="bottomLeft" activeCell="A14" sqref="A14"/>
      <selection pane="bottomRight" activeCell="L17" sqref="L17"/>
    </sheetView>
  </sheetViews>
  <sheetFormatPr defaultRowHeight="14.4" x14ac:dyDescent="0.3"/>
  <cols>
    <col min="1" max="1" width="28.6640625" style="4" bestFit="1" customWidth="1"/>
    <col min="2" max="2" width="17.44140625" bestFit="1" customWidth="1"/>
    <col min="3" max="3" width="12.33203125" bestFit="1" customWidth="1"/>
    <col min="4" max="4" width="11.6640625" customWidth="1"/>
    <col min="6" max="6" width="14.6640625" bestFit="1" customWidth="1"/>
    <col min="7" max="7" width="24.5546875" bestFit="1" customWidth="1"/>
    <col min="8" max="8" width="18.44140625" bestFit="1" customWidth="1"/>
    <col min="9" max="9" width="22" bestFit="1" customWidth="1"/>
    <col min="10" max="10" width="12.33203125" bestFit="1" customWidth="1"/>
    <col min="11" max="11" width="10.88671875" bestFit="1" customWidth="1"/>
    <col min="13" max="13" width="12.33203125" bestFit="1" customWidth="1"/>
    <col min="14" max="14" width="28.6640625" bestFit="1" customWidth="1"/>
  </cols>
  <sheetData>
    <row r="1" spans="1:15" s="6" customFormat="1" x14ac:dyDescent="0.3">
      <c r="A1" t="s">
        <v>0</v>
      </c>
      <c r="B1" t="s">
        <v>166</v>
      </c>
      <c r="C1" t="s">
        <v>167</v>
      </c>
      <c r="D1" t="s">
        <v>169</v>
      </c>
      <c r="E1" t="s">
        <v>168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216</v>
      </c>
      <c r="O1" t="s">
        <v>218</v>
      </c>
    </row>
    <row r="2" spans="1:15" s="5" customFormat="1" x14ac:dyDescent="0.3">
      <c r="A2" t="s">
        <v>9</v>
      </c>
      <c r="B2" t="s">
        <v>51</v>
      </c>
      <c r="C2" s="3">
        <v>34476</v>
      </c>
      <c r="D2"/>
      <c r="E2">
        <v>8124</v>
      </c>
      <c r="F2" t="s">
        <v>50</v>
      </c>
      <c r="G2" t="s">
        <v>85</v>
      </c>
      <c r="H2" t="s">
        <v>86</v>
      </c>
      <c r="I2" t="s">
        <v>87</v>
      </c>
      <c r="J2">
        <v>74658032733</v>
      </c>
      <c r="K2" s="1">
        <v>93841265</v>
      </c>
      <c r="L2" t="s">
        <v>88</v>
      </c>
      <c r="M2">
        <v>6202590154</v>
      </c>
      <c r="N2"/>
      <c r="O2"/>
    </row>
    <row r="3" spans="1:15" x14ac:dyDescent="0.3">
      <c r="A3" t="s">
        <v>10</v>
      </c>
      <c r="B3" t="s">
        <v>72</v>
      </c>
      <c r="C3" s="3">
        <v>34811</v>
      </c>
      <c r="F3" t="s">
        <v>51</v>
      </c>
      <c r="G3" t="s">
        <v>52</v>
      </c>
      <c r="H3" t="s">
        <v>53</v>
      </c>
      <c r="I3" t="s">
        <v>53</v>
      </c>
      <c r="J3">
        <v>71369982882</v>
      </c>
      <c r="K3" s="1">
        <v>109257314</v>
      </c>
      <c r="L3" t="s">
        <v>54</v>
      </c>
      <c r="M3">
        <v>6202280101</v>
      </c>
    </row>
    <row r="4" spans="1:15" x14ac:dyDescent="0.3">
      <c r="A4" t="s">
        <v>13</v>
      </c>
      <c r="B4" t="s">
        <v>177</v>
      </c>
      <c r="C4" s="3">
        <v>34635</v>
      </c>
      <c r="D4" t="s">
        <v>176</v>
      </c>
      <c r="E4">
        <v>6320</v>
      </c>
      <c r="F4" t="s">
        <v>180</v>
      </c>
      <c r="G4" t="s">
        <v>181</v>
      </c>
      <c r="H4" t="s">
        <v>182</v>
      </c>
      <c r="I4" t="s">
        <v>183</v>
      </c>
      <c r="J4">
        <v>77062133203</v>
      </c>
      <c r="K4" s="1">
        <v>108711518</v>
      </c>
      <c r="L4" t="s">
        <v>59</v>
      </c>
      <c r="M4">
        <v>6702462930</v>
      </c>
    </row>
    <row r="5" spans="1:15" x14ac:dyDescent="0.3">
      <c r="A5" t="s">
        <v>15</v>
      </c>
      <c r="B5" t="s">
        <v>51</v>
      </c>
      <c r="C5" s="3">
        <v>34465</v>
      </c>
      <c r="E5">
        <v>8000</v>
      </c>
      <c r="F5" t="s">
        <v>51</v>
      </c>
      <c r="G5" t="s">
        <v>64</v>
      </c>
      <c r="H5" t="s">
        <v>65</v>
      </c>
      <c r="I5" t="s">
        <v>66</v>
      </c>
      <c r="J5">
        <v>71367841992</v>
      </c>
      <c r="K5" s="1">
        <v>108206278</v>
      </c>
      <c r="L5" t="s">
        <v>67</v>
      </c>
      <c r="M5">
        <v>6703967796</v>
      </c>
    </row>
    <row r="6" spans="1:15" x14ac:dyDescent="0.3">
      <c r="A6" t="s">
        <v>16</v>
      </c>
      <c r="B6" t="s">
        <v>51</v>
      </c>
      <c r="C6" s="3">
        <v>34817</v>
      </c>
      <c r="E6">
        <v>8000</v>
      </c>
      <c r="F6" t="s">
        <v>51</v>
      </c>
      <c r="G6" t="s">
        <v>68</v>
      </c>
      <c r="H6" t="s">
        <v>69</v>
      </c>
      <c r="I6" t="s">
        <v>70</v>
      </c>
      <c r="J6">
        <v>75847182990</v>
      </c>
      <c r="K6" s="1">
        <v>109225768</v>
      </c>
      <c r="L6" t="s">
        <v>71</v>
      </c>
      <c r="M6">
        <v>6204284889</v>
      </c>
    </row>
    <row r="7" spans="1:15" x14ac:dyDescent="0.3">
      <c r="A7" t="s">
        <v>17</v>
      </c>
      <c r="B7" t="s">
        <v>175</v>
      </c>
      <c r="C7" s="3">
        <v>34796</v>
      </c>
      <c r="D7" t="s">
        <v>176</v>
      </c>
      <c r="E7">
        <v>1108</v>
      </c>
      <c r="F7" t="s">
        <v>72</v>
      </c>
      <c r="G7" t="s">
        <v>73</v>
      </c>
      <c r="H7" t="s">
        <v>74</v>
      </c>
      <c r="I7" t="s">
        <v>75</v>
      </c>
      <c r="J7">
        <v>1212293630</v>
      </c>
      <c r="K7" s="1">
        <v>95958253</v>
      </c>
      <c r="L7" t="s">
        <v>76</v>
      </c>
      <c r="M7">
        <v>6307108760</v>
      </c>
    </row>
    <row r="8" spans="1:15" x14ac:dyDescent="0.3">
      <c r="A8" t="s">
        <v>18</v>
      </c>
      <c r="B8" t="s">
        <v>51</v>
      </c>
      <c r="C8" s="3">
        <v>34520</v>
      </c>
      <c r="E8">
        <v>8157</v>
      </c>
      <c r="F8" t="s">
        <v>77</v>
      </c>
      <c r="G8" t="s">
        <v>78</v>
      </c>
      <c r="H8" t="s">
        <v>79</v>
      </c>
      <c r="I8" t="s">
        <v>79</v>
      </c>
      <c r="J8">
        <v>77723144761</v>
      </c>
      <c r="K8" s="1">
        <v>108353729</v>
      </c>
      <c r="L8" t="s">
        <v>80</v>
      </c>
      <c r="M8">
        <v>6304168661</v>
      </c>
    </row>
    <row r="9" spans="1:15" x14ac:dyDescent="0.3">
      <c r="A9" t="s">
        <v>242</v>
      </c>
      <c r="B9" t="s">
        <v>51</v>
      </c>
      <c r="C9" s="3">
        <v>34376</v>
      </c>
      <c r="E9">
        <v>8111</v>
      </c>
      <c r="F9" t="s">
        <v>81</v>
      </c>
      <c r="G9" t="s">
        <v>82</v>
      </c>
      <c r="H9" t="s">
        <v>83</v>
      </c>
      <c r="I9" t="s">
        <v>83</v>
      </c>
      <c r="J9">
        <v>72673217864</v>
      </c>
      <c r="K9" s="1">
        <v>93778431</v>
      </c>
      <c r="L9" t="s">
        <v>84</v>
      </c>
      <c r="M9">
        <v>6307033782</v>
      </c>
    </row>
    <row r="10" spans="1:15" x14ac:dyDescent="0.3">
      <c r="A10" t="s">
        <v>23</v>
      </c>
      <c r="B10" t="s">
        <v>110</v>
      </c>
      <c r="C10" s="3">
        <v>34766</v>
      </c>
      <c r="F10" t="s">
        <v>51</v>
      </c>
      <c r="G10" t="s">
        <v>114</v>
      </c>
      <c r="H10" t="s">
        <v>115</v>
      </c>
      <c r="I10" t="s">
        <v>116</v>
      </c>
      <c r="J10">
        <v>74187481213</v>
      </c>
      <c r="K10" s="1">
        <v>96067053</v>
      </c>
      <c r="L10" t="s">
        <v>117</v>
      </c>
      <c r="M10">
        <v>6202442201</v>
      </c>
    </row>
    <row r="11" spans="1:15" s="2" customFormat="1" x14ac:dyDescent="0.3">
      <c r="A11" t="s">
        <v>24</v>
      </c>
      <c r="B11" t="s">
        <v>51</v>
      </c>
      <c r="C11" s="3">
        <v>34510</v>
      </c>
      <c r="D11"/>
      <c r="E11">
        <v>8000</v>
      </c>
      <c r="F11" t="s">
        <v>51</v>
      </c>
      <c r="G11" t="s">
        <v>95</v>
      </c>
      <c r="H11" t="s">
        <v>96</v>
      </c>
      <c r="I11" t="s">
        <v>97</v>
      </c>
      <c r="J11">
        <v>72296817482</v>
      </c>
      <c r="K11" s="1">
        <v>108317828</v>
      </c>
      <c r="L11" t="s">
        <v>98</v>
      </c>
      <c r="M11">
        <v>6304299133</v>
      </c>
      <c r="N11" t="s">
        <v>217</v>
      </c>
      <c r="O11"/>
    </row>
    <row r="12" spans="1:15" x14ac:dyDescent="0.3">
      <c r="A12" t="s">
        <v>26</v>
      </c>
      <c r="B12" t="s">
        <v>110</v>
      </c>
      <c r="C12" s="3">
        <v>34772</v>
      </c>
      <c r="E12">
        <v>8060</v>
      </c>
      <c r="F12" t="s">
        <v>110</v>
      </c>
      <c r="G12" t="s">
        <v>122</v>
      </c>
      <c r="H12" t="s">
        <v>123</v>
      </c>
      <c r="I12" t="s">
        <v>123</v>
      </c>
      <c r="J12">
        <v>71428124744</v>
      </c>
      <c r="K12" s="1">
        <v>109128229</v>
      </c>
      <c r="L12" t="s">
        <v>124</v>
      </c>
      <c r="M12">
        <v>6306120498</v>
      </c>
    </row>
    <row r="13" spans="1:15" x14ac:dyDescent="0.3">
      <c r="A13" t="s">
        <v>27</v>
      </c>
      <c r="B13" t="s">
        <v>193</v>
      </c>
      <c r="C13" s="3">
        <v>34509</v>
      </c>
      <c r="E13">
        <v>8000</v>
      </c>
      <c r="F13" t="s">
        <v>51</v>
      </c>
      <c r="G13" t="s">
        <v>171</v>
      </c>
      <c r="H13" t="s">
        <v>173</v>
      </c>
      <c r="I13" t="s">
        <v>172</v>
      </c>
      <c r="J13">
        <v>71537961583</v>
      </c>
      <c r="K13" s="1">
        <v>108317567</v>
      </c>
      <c r="L13" t="s">
        <v>174</v>
      </c>
      <c r="M13">
        <v>6209857384</v>
      </c>
      <c r="N13" t="s">
        <v>217</v>
      </c>
    </row>
    <row r="14" spans="1:15" x14ac:dyDescent="0.3">
      <c r="A14" t="s">
        <v>28</v>
      </c>
      <c r="B14" t="s">
        <v>51</v>
      </c>
      <c r="C14" s="3">
        <v>34826</v>
      </c>
      <c r="E14">
        <v>8000</v>
      </c>
      <c r="F14" t="s">
        <v>51</v>
      </c>
      <c r="G14" t="s">
        <v>152</v>
      </c>
      <c r="H14" t="s">
        <v>153</v>
      </c>
      <c r="I14" t="s">
        <v>154</v>
      </c>
      <c r="J14">
        <v>75371450652</v>
      </c>
      <c r="K14" s="1">
        <v>109247878</v>
      </c>
      <c r="L14" t="s">
        <v>155</v>
      </c>
      <c r="M14">
        <v>6703612353</v>
      </c>
    </row>
    <row r="15" spans="1:15" x14ac:dyDescent="0.3">
      <c r="A15" t="s">
        <v>29</v>
      </c>
      <c r="B15" t="s">
        <v>51</v>
      </c>
      <c r="C15" s="3">
        <v>34692</v>
      </c>
      <c r="F15" t="s">
        <v>51</v>
      </c>
      <c r="G15" t="s">
        <v>104</v>
      </c>
      <c r="H15" t="s">
        <v>105</v>
      </c>
      <c r="I15" t="s">
        <v>105</v>
      </c>
      <c r="J15">
        <v>72840376253</v>
      </c>
      <c r="K15">
        <v>95730697</v>
      </c>
      <c r="L15" t="s">
        <v>106</v>
      </c>
      <c r="M15">
        <v>6202982602</v>
      </c>
    </row>
    <row r="16" spans="1:15" x14ac:dyDescent="0.3">
      <c r="A16" t="s">
        <v>30</v>
      </c>
      <c r="B16" t="s">
        <v>51</v>
      </c>
      <c r="C16" s="3">
        <v>34675</v>
      </c>
      <c r="E16">
        <v>8000</v>
      </c>
      <c r="F16" t="s">
        <v>51</v>
      </c>
      <c r="G16" t="s">
        <v>99</v>
      </c>
      <c r="H16" t="s">
        <v>100</v>
      </c>
      <c r="I16" t="s">
        <v>100</v>
      </c>
      <c r="J16">
        <v>76800608548</v>
      </c>
      <c r="K16" s="1">
        <v>95707477</v>
      </c>
      <c r="L16" t="s">
        <v>101</v>
      </c>
      <c r="M16">
        <v>6303943382</v>
      </c>
    </row>
    <row r="17" spans="1:15" x14ac:dyDescent="0.3">
      <c r="A17" t="s">
        <v>32</v>
      </c>
      <c r="B17" t="s">
        <v>51</v>
      </c>
      <c r="C17" s="3">
        <v>34495</v>
      </c>
      <c r="D17" t="s">
        <v>176</v>
      </c>
      <c r="E17">
        <v>7018</v>
      </c>
      <c r="F17" t="s">
        <v>125</v>
      </c>
      <c r="G17" t="s">
        <v>220</v>
      </c>
      <c r="H17" t="s">
        <v>126</v>
      </c>
      <c r="I17" t="s">
        <v>126</v>
      </c>
      <c r="J17">
        <v>75780896303</v>
      </c>
      <c r="K17">
        <v>108278730</v>
      </c>
      <c r="L17" t="s">
        <v>127</v>
      </c>
      <c r="M17">
        <v>6309222381</v>
      </c>
      <c r="N17" t="s">
        <v>217</v>
      </c>
    </row>
    <row r="18" spans="1:15" x14ac:dyDescent="0.3">
      <c r="A18" t="s">
        <v>34</v>
      </c>
      <c r="B18" t="s">
        <v>51</v>
      </c>
      <c r="C18" s="3">
        <v>34614</v>
      </c>
      <c r="E18">
        <v>8000</v>
      </c>
      <c r="F18" t="s">
        <v>51</v>
      </c>
      <c r="G18" t="s">
        <v>118</v>
      </c>
      <c r="H18" t="s">
        <v>119</v>
      </c>
      <c r="I18" t="s">
        <v>135</v>
      </c>
      <c r="J18">
        <v>75955254415</v>
      </c>
      <c r="K18">
        <v>108656453</v>
      </c>
      <c r="L18" t="s">
        <v>120</v>
      </c>
    </row>
    <row r="19" spans="1:15" x14ac:dyDescent="0.3">
      <c r="A19" t="s">
        <v>37</v>
      </c>
      <c r="B19" t="s">
        <v>110</v>
      </c>
      <c r="C19" s="3">
        <v>34653</v>
      </c>
      <c r="E19">
        <v>8056</v>
      </c>
      <c r="F19" t="s">
        <v>192</v>
      </c>
      <c r="G19" t="s">
        <v>134</v>
      </c>
      <c r="H19" t="s">
        <v>133</v>
      </c>
      <c r="I19" t="s">
        <v>132</v>
      </c>
      <c r="J19">
        <v>76213644779</v>
      </c>
      <c r="K19">
        <v>95677897</v>
      </c>
      <c r="L19" t="s">
        <v>131</v>
      </c>
      <c r="M19">
        <v>6203630895</v>
      </c>
      <c r="O19" t="s">
        <v>217</v>
      </c>
    </row>
    <row r="20" spans="1:15" x14ac:dyDescent="0.3">
      <c r="A20" t="s">
        <v>38</v>
      </c>
      <c r="B20" t="s">
        <v>51</v>
      </c>
      <c r="C20" s="3">
        <v>34535</v>
      </c>
      <c r="F20" t="s">
        <v>51</v>
      </c>
      <c r="G20" t="s">
        <v>142</v>
      </c>
      <c r="H20" t="s">
        <v>194</v>
      </c>
      <c r="I20" t="s">
        <v>223</v>
      </c>
      <c r="J20">
        <v>74948144823</v>
      </c>
      <c r="K20">
        <v>108396856</v>
      </c>
      <c r="L20" t="s">
        <v>121</v>
      </c>
      <c r="M20">
        <v>6306115733</v>
      </c>
    </row>
    <row r="21" spans="1:15" x14ac:dyDescent="0.3">
      <c r="A21" t="s">
        <v>39</v>
      </c>
      <c r="B21" t="s">
        <v>51</v>
      </c>
      <c r="C21" s="3">
        <v>34845</v>
      </c>
      <c r="E21">
        <v>2471</v>
      </c>
      <c r="F21" t="s">
        <v>141</v>
      </c>
      <c r="G21" t="s">
        <v>140</v>
      </c>
      <c r="H21" t="s">
        <v>145</v>
      </c>
      <c r="I21" t="s">
        <v>146</v>
      </c>
      <c r="J21">
        <v>72736477462</v>
      </c>
      <c r="K21">
        <v>96271436</v>
      </c>
      <c r="L21" t="s">
        <v>147</v>
      </c>
      <c r="M21">
        <v>306115733</v>
      </c>
    </row>
    <row r="22" spans="1:15" x14ac:dyDescent="0.3">
      <c r="A22" t="s">
        <v>42</v>
      </c>
      <c r="B22" t="s">
        <v>197</v>
      </c>
      <c r="C22" s="3">
        <v>34430</v>
      </c>
      <c r="E22">
        <v>8000</v>
      </c>
      <c r="F22" t="s">
        <v>51</v>
      </c>
      <c r="G22" t="s">
        <v>198</v>
      </c>
      <c r="H22" t="s">
        <v>199</v>
      </c>
      <c r="I22" t="s">
        <v>187</v>
      </c>
      <c r="J22">
        <v>75171285230</v>
      </c>
      <c r="K22" s="1">
        <v>93816151</v>
      </c>
      <c r="L22" t="s">
        <v>188</v>
      </c>
      <c r="M22">
        <v>6305190417</v>
      </c>
      <c r="N22" t="s">
        <v>217</v>
      </c>
    </row>
    <row r="23" spans="1:15" x14ac:dyDescent="0.3">
      <c r="A23"/>
      <c r="C23" s="3"/>
      <c r="K23" s="1"/>
    </row>
    <row r="24" spans="1:15" x14ac:dyDescent="0.3">
      <c r="C24" t="s">
        <v>244</v>
      </c>
      <c r="M24">
        <v>6305796559</v>
      </c>
    </row>
    <row r="25" spans="1:15" x14ac:dyDescent="0.3">
      <c r="A25" s="2" t="s">
        <v>247</v>
      </c>
      <c r="B25">
        <v>21</v>
      </c>
      <c r="C25" s="9">
        <v>17</v>
      </c>
    </row>
    <row r="26" spans="1:15" x14ac:dyDescent="0.3">
      <c r="A26" s="2" t="s">
        <v>243</v>
      </c>
      <c r="B26">
        <v>12</v>
      </c>
      <c r="C26" s="9">
        <v>8</v>
      </c>
    </row>
    <row r="27" spans="1:15" x14ac:dyDescent="0.3">
      <c r="A27" s="8" t="s">
        <v>245</v>
      </c>
      <c r="B27">
        <v>6</v>
      </c>
      <c r="C27" s="9">
        <v>6</v>
      </c>
    </row>
    <row r="28" spans="1:15" x14ac:dyDescent="0.3">
      <c r="A28" s="8" t="s">
        <v>246</v>
      </c>
      <c r="B28">
        <v>3</v>
      </c>
      <c r="C28" s="9">
        <v>3</v>
      </c>
    </row>
    <row r="29" spans="1:15" x14ac:dyDescent="0.3">
      <c r="A29" s="2" t="s">
        <v>216</v>
      </c>
      <c r="B29">
        <v>4</v>
      </c>
      <c r="C29" s="9">
        <v>4</v>
      </c>
    </row>
    <row r="30" spans="1:15" x14ac:dyDescent="0.3">
      <c r="A30" s="8" t="s">
        <v>218</v>
      </c>
      <c r="B30">
        <v>1</v>
      </c>
      <c r="C30" s="9">
        <v>1</v>
      </c>
    </row>
    <row r="31" spans="1:15" x14ac:dyDescent="0.3">
      <c r="A31" s="8"/>
      <c r="C31" s="9"/>
    </row>
    <row r="32" spans="1:15" x14ac:dyDescent="0.3">
      <c r="A32" s="8"/>
      <c r="C32" s="9"/>
    </row>
    <row r="33" spans="1:1" x14ac:dyDescent="0.3">
      <c r="A33" s="8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O38"/>
  <sheetViews>
    <sheetView tabSelected="1" workbookViewId="0">
      <pane xSplit="1" ySplit="1" topLeftCell="B5" activePane="bottomRight" state="frozen"/>
      <selection pane="topRight" activeCell="B1" sqref="B1"/>
      <selection pane="bottomLeft" activeCell="A2" sqref="A2"/>
      <selection pane="bottomRight" activeCell="C6" sqref="C6"/>
    </sheetView>
  </sheetViews>
  <sheetFormatPr defaultRowHeight="14.4" x14ac:dyDescent="0.3"/>
  <cols>
    <col min="1" max="1" width="23.44140625" customWidth="1"/>
    <col min="2" max="2" width="17.44140625" bestFit="1" customWidth="1"/>
    <col min="3" max="3" width="12.33203125" bestFit="1" customWidth="1"/>
    <col min="4" max="4" width="9.44140625" customWidth="1"/>
    <col min="5" max="5" width="7.6640625" bestFit="1" customWidth="1"/>
    <col min="6" max="6" width="29.33203125" customWidth="1"/>
    <col min="7" max="7" width="26.33203125" customWidth="1"/>
    <col min="8" max="8" width="23.6640625" customWidth="1"/>
    <col min="9" max="9" width="23.109375" customWidth="1"/>
    <col min="10" max="10" width="12.33203125" bestFit="1" customWidth="1"/>
    <col min="11" max="11" width="10.88671875" bestFit="1" customWidth="1"/>
    <col min="12" max="12" width="13.88671875" bestFit="1" customWidth="1"/>
    <col min="13" max="13" width="20.44140625" customWidth="1"/>
    <col min="14" max="14" width="28.6640625" bestFit="1" customWidth="1"/>
  </cols>
  <sheetData>
    <row r="1" spans="1:15" x14ac:dyDescent="0.3">
      <c r="A1" t="s">
        <v>0</v>
      </c>
      <c r="B1" t="s">
        <v>166</v>
      </c>
      <c r="C1" t="s">
        <v>167</v>
      </c>
      <c r="D1" t="s">
        <v>169</v>
      </c>
      <c r="E1" t="s">
        <v>168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216</v>
      </c>
      <c r="O1" t="s">
        <v>218</v>
      </c>
    </row>
    <row r="2" spans="1:15" x14ac:dyDescent="0.3">
      <c r="A2" t="s">
        <v>9</v>
      </c>
      <c r="B2" t="s">
        <v>51</v>
      </c>
      <c r="C2" s="3">
        <v>34476</v>
      </c>
      <c r="E2">
        <v>8124</v>
      </c>
      <c r="F2" t="s">
        <v>50</v>
      </c>
      <c r="G2" t="s">
        <v>85</v>
      </c>
      <c r="H2" t="s">
        <v>86</v>
      </c>
      <c r="I2" t="s">
        <v>87</v>
      </c>
      <c r="J2">
        <v>74658032733</v>
      </c>
      <c r="K2" s="1">
        <v>93841265</v>
      </c>
      <c r="L2" t="s">
        <v>88</v>
      </c>
      <c r="M2">
        <v>6202590154</v>
      </c>
    </row>
    <row r="3" spans="1:15" x14ac:dyDescent="0.3">
      <c r="A3" t="s">
        <v>10</v>
      </c>
      <c r="B3" t="s">
        <v>72</v>
      </c>
      <c r="C3" s="3">
        <v>20201</v>
      </c>
      <c r="F3" t="s">
        <v>51</v>
      </c>
      <c r="G3" t="s">
        <v>52</v>
      </c>
      <c r="H3" t="s">
        <v>53</v>
      </c>
      <c r="I3" t="s">
        <v>53</v>
      </c>
      <c r="J3">
        <v>71369982882</v>
      </c>
      <c r="K3" s="1">
        <v>109257314</v>
      </c>
      <c r="L3" t="s">
        <v>54</v>
      </c>
      <c r="M3">
        <v>6202280101</v>
      </c>
    </row>
    <row r="4" spans="1:15" x14ac:dyDescent="0.3">
      <c r="A4" t="s">
        <v>11</v>
      </c>
      <c r="B4" t="s">
        <v>110</v>
      </c>
      <c r="C4" s="3">
        <v>34458</v>
      </c>
      <c r="E4">
        <v>8060</v>
      </c>
      <c r="F4" t="s">
        <v>110</v>
      </c>
      <c r="G4" t="s">
        <v>179</v>
      </c>
      <c r="H4" t="s">
        <v>111</v>
      </c>
      <c r="I4" t="s">
        <v>112</v>
      </c>
      <c r="J4">
        <v>76463084514</v>
      </c>
      <c r="K4">
        <v>94990373</v>
      </c>
      <c r="L4" t="s">
        <v>113</v>
      </c>
      <c r="M4">
        <v>6305134894</v>
      </c>
    </row>
    <row r="5" spans="1:15" x14ac:dyDescent="0.3">
      <c r="A5" t="s">
        <v>12</v>
      </c>
      <c r="B5" t="s">
        <v>51</v>
      </c>
      <c r="C5" s="3">
        <v>34598</v>
      </c>
      <c r="F5" t="s">
        <v>55</v>
      </c>
      <c r="G5" t="s">
        <v>56</v>
      </c>
      <c r="H5" t="s">
        <v>57</v>
      </c>
      <c r="I5" t="s">
        <v>57</v>
      </c>
      <c r="J5">
        <v>79207261473</v>
      </c>
      <c r="K5">
        <v>108606283</v>
      </c>
      <c r="L5" t="s">
        <v>58</v>
      </c>
      <c r="M5">
        <v>6302401462</v>
      </c>
      <c r="N5" t="s">
        <v>217</v>
      </c>
    </row>
    <row r="6" spans="1:15" x14ac:dyDescent="0.3">
      <c r="A6" t="s">
        <v>13</v>
      </c>
      <c r="B6" t="s">
        <v>177</v>
      </c>
      <c r="C6" s="3">
        <v>34635</v>
      </c>
      <c r="D6" t="s">
        <v>176</v>
      </c>
      <c r="E6">
        <v>6320</v>
      </c>
      <c r="F6" t="s">
        <v>180</v>
      </c>
      <c r="G6" t="s">
        <v>181</v>
      </c>
      <c r="H6" t="s">
        <v>182</v>
      </c>
      <c r="I6" t="s">
        <v>183</v>
      </c>
      <c r="J6">
        <v>77062133203</v>
      </c>
      <c r="K6" s="1">
        <v>108711518</v>
      </c>
      <c r="L6" t="s">
        <v>59</v>
      </c>
      <c r="M6">
        <v>6702462930</v>
      </c>
    </row>
    <row r="7" spans="1:15" x14ac:dyDescent="0.3">
      <c r="A7" t="s">
        <v>14</v>
      </c>
      <c r="B7" t="s">
        <v>178</v>
      </c>
      <c r="C7" s="3">
        <v>34519</v>
      </c>
      <c r="E7">
        <v>2483</v>
      </c>
      <c r="F7" t="s">
        <v>60</v>
      </c>
      <c r="G7" t="s">
        <v>61</v>
      </c>
      <c r="H7" t="s">
        <v>62</v>
      </c>
      <c r="I7" t="s">
        <v>190</v>
      </c>
      <c r="J7">
        <v>73156160381</v>
      </c>
      <c r="K7" s="1">
        <v>108352014</v>
      </c>
      <c r="L7" t="s">
        <v>63</v>
      </c>
      <c r="M7">
        <v>6304245419</v>
      </c>
    </row>
    <row r="8" spans="1:15" x14ac:dyDescent="0.3">
      <c r="A8" t="s">
        <v>15</v>
      </c>
      <c r="B8" t="s">
        <v>51</v>
      </c>
      <c r="C8" s="3">
        <v>34465</v>
      </c>
      <c r="E8">
        <v>8000</v>
      </c>
      <c r="F8" t="s">
        <v>51</v>
      </c>
      <c r="G8" t="s">
        <v>64</v>
      </c>
      <c r="H8" t="s">
        <v>65</v>
      </c>
      <c r="I8" t="s">
        <v>66</v>
      </c>
      <c r="J8">
        <v>71367841992</v>
      </c>
      <c r="K8" s="1">
        <v>108206278</v>
      </c>
      <c r="L8" t="s">
        <v>67</v>
      </c>
      <c r="M8">
        <v>6703967796</v>
      </c>
    </row>
    <row r="9" spans="1:15" x14ac:dyDescent="0.3">
      <c r="A9" t="s">
        <v>16</v>
      </c>
      <c r="B9" t="s">
        <v>51</v>
      </c>
      <c r="C9" s="3">
        <v>34817</v>
      </c>
      <c r="E9">
        <v>8000</v>
      </c>
      <c r="F9" t="s">
        <v>51</v>
      </c>
      <c r="G9" t="s">
        <v>68</v>
      </c>
      <c r="H9" t="s">
        <v>69</v>
      </c>
      <c r="I9" t="s">
        <v>70</v>
      </c>
      <c r="J9">
        <v>75847182990</v>
      </c>
      <c r="K9" s="1">
        <v>109225768</v>
      </c>
      <c r="L9" t="s">
        <v>71</v>
      </c>
      <c r="M9">
        <v>6204284889</v>
      </c>
    </row>
    <row r="10" spans="1:15" x14ac:dyDescent="0.3">
      <c r="A10" t="s">
        <v>17</v>
      </c>
      <c r="B10" t="s">
        <v>175</v>
      </c>
      <c r="C10" s="3">
        <v>34796</v>
      </c>
      <c r="D10" t="s">
        <v>176</v>
      </c>
      <c r="E10">
        <v>1108</v>
      </c>
      <c r="F10" t="s">
        <v>72</v>
      </c>
      <c r="G10" t="s">
        <v>73</v>
      </c>
      <c r="H10" t="s">
        <v>74</v>
      </c>
      <c r="I10" t="s">
        <v>75</v>
      </c>
      <c r="J10">
        <v>1212293630</v>
      </c>
      <c r="K10" s="1">
        <v>95958253</v>
      </c>
      <c r="L10" t="s">
        <v>76</v>
      </c>
      <c r="M10">
        <v>6307108760</v>
      </c>
    </row>
    <row r="11" spans="1:15" x14ac:dyDescent="0.3">
      <c r="A11" t="s">
        <v>18</v>
      </c>
      <c r="B11" t="s">
        <v>51</v>
      </c>
      <c r="C11" s="3">
        <v>34520</v>
      </c>
      <c r="E11">
        <v>8157</v>
      </c>
      <c r="F11" t="s">
        <v>77</v>
      </c>
      <c r="G11" t="s">
        <v>78</v>
      </c>
      <c r="H11" t="s">
        <v>79</v>
      </c>
      <c r="I11" t="s">
        <v>79</v>
      </c>
      <c r="J11">
        <v>77723144761</v>
      </c>
      <c r="K11" s="1">
        <v>108353729</v>
      </c>
      <c r="L11" t="s">
        <v>80</v>
      </c>
      <c r="M11">
        <v>6304168661</v>
      </c>
    </row>
    <row r="12" spans="1:15" x14ac:dyDescent="0.3">
      <c r="A12" t="s">
        <v>19</v>
      </c>
      <c r="B12" t="s">
        <v>51</v>
      </c>
      <c r="C12" s="3">
        <v>34494</v>
      </c>
      <c r="E12">
        <v>8000</v>
      </c>
      <c r="F12" t="s">
        <v>92</v>
      </c>
      <c r="G12" t="s">
        <v>191</v>
      </c>
      <c r="H12" t="s">
        <v>93</v>
      </c>
      <c r="I12" t="s">
        <v>139</v>
      </c>
      <c r="J12">
        <v>75785782495</v>
      </c>
      <c r="K12" s="1">
        <v>93848594</v>
      </c>
      <c r="L12" t="s">
        <v>94</v>
      </c>
      <c r="M12" s="1">
        <v>6305972618</v>
      </c>
    </row>
    <row r="13" spans="1:15" x14ac:dyDescent="0.3">
      <c r="A13" t="s">
        <v>20</v>
      </c>
      <c r="B13" t="s">
        <v>51</v>
      </c>
      <c r="C13" s="3">
        <v>34355</v>
      </c>
      <c r="E13">
        <v>8122</v>
      </c>
      <c r="F13" t="s">
        <v>148</v>
      </c>
      <c r="G13" t="s">
        <v>149</v>
      </c>
      <c r="H13" t="s">
        <v>214</v>
      </c>
      <c r="I13" t="s">
        <v>150</v>
      </c>
      <c r="J13">
        <v>75838724963</v>
      </c>
      <c r="K13" s="1">
        <v>93761855</v>
      </c>
      <c r="L13" t="s">
        <v>151</v>
      </c>
      <c r="M13">
        <v>6202783428</v>
      </c>
    </row>
    <row r="14" spans="1:15" x14ac:dyDescent="0.3">
      <c r="A14" t="s">
        <v>21</v>
      </c>
      <c r="B14" t="s">
        <v>51</v>
      </c>
      <c r="C14" s="3">
        <v>34376</v>
      </c>
      <c r="E14">
        <v>8111</v>
      </c>
      <c r="F14" t="s">
        <v>81</v>
      </c>
      <c r="G14" t="s">
        <v>82</v>
      </c>
      <c r="H14" t="s">
        <v>83</v>
      </c>
      <c r="I14" t="s">
        <v>83</v>
      </c>
      <c r="J14">
        <v>72673217864</v>
      </c>
      <c r="K14" s="1">
        <v>93778431</v>
      </c>
      <c r="L14" t="s">
        <v>84</v>
      </c>
      <c r="M14">
        <v>6307033782</v>
      </c>
    </row>
    <row r="15" spans="1:15" x14ac:dyDescent="0.3">
      <c r="A15" t="s">
        <v>22</v>
      </c>
      <c r="B15" t="s">
        <v>110</v>
      </c>
      <c r="C15" s="3">
        <v>34611</v>
      </c>
      <c r="D15" t="s">
        <v>176</v>
      </c>
      <c r="E15">
        <v>8056</v>
      </c>
      <c r="F15" t="s">
        <v>192</v>
      </c>
      <c r="G15" t="s">
        <v>189</v>
      </c>
      <c r="H15" t="s">
        <v>89</v>
      </c>
      <c r="I15" t="s">
        <v>90</v>
      </c>
      <c r="J15">
        <v>79846392551</v>
      </c>
      <c r="K15" s="1">
        <v>108696871</v>
      </c>
      <c r="L15" t="s">
        <v>91</v>
      </c>
      <c r="M15">
        <v>6307324782</v>
      </c>
    </row>
    <row r="16" spans="1:15" x14ac:dyDescent="0.3">
      <c r="A16" t="s">
        <v>23</v>
      </c>
      <c r="B16" t="s">
        <v>110</v>
      </c>
      <c r="C16" s="3">
        <v>34766</v>
      </c>
      <c r="F16" t="s">
        <v>51</v>
      </c>
      <c r="G16" t="s">
        <v>114</v>
      </c>
      <c r="H16" t="s">
        <v>115</v>
      </c>
      <c r="I16" t="s">
        <v>116</v>
      </c>
      <c r="J16">
        <v>74187481213</v>
      </c>
      <c r="K16" s="1">
        <v>96067053</v>
      </c>
      <c r="L16" t="s">
        <v>117</v>
      </c>
      <c r="M16">
        <v>6202442201</v>
      </c>
    </row>
    <row r="17" spans="1:14" x14ac:dyDescent="0.3">
      <c r="A17" t="s">
        <v>24</v>
      </c>
      <c r="B17" t="s">
        <v>51</v>
      </c>
      <c r="C17" s="3">
        <v>34510</v>
      </c>
      <c r="E17">
        <v>8000</v>
      </c>
      <c r="F17" t="s">
        <v>51</v>
      </c>
      <c r="G17" t="s">
        <v>95</v>
      </c>
      <c r="H17" t="s">
        <v>96</v>
      </c>
      <c r="I17" t="s">
        <v>97</v>
      </c>
      <c r="J17">
        <v>72296817482</v>
      </c>
      <c r="K17" s="1">
        <v>108317828</v>
      </c>
      <c r="L17" t="s">
        <v>98</v>
      </c>
      <c r="M17">
        <v>6304299133</v>
      </c>
      <c r="N17" t="s">
        <v>217</v>
      </c>
    </row>
    <row r="18" spans="1:14" x14ac:dyDescent="0.3">
      <c r="A18" t="s">
        <v>25</v>
      </c>
      <c r="B18" t="s">
        <v>51</v>
      </c>
      <c r="C18" s="3">
        <v>34257</v>
      </c>
      <c r="E18">
        <v>8000</v>
      </c>
      <c r="F18" t="s">
        <v>51</v>
      </c>
      <c r="G18" t="s">
        <v>184</v>
      </c>
      <c r="H18" t="s">
        <v>185</v>
      </c>
      <c r="I18" t="s">
        <v>185</v>
      </c>
      <c r="J18">
        <v>77152616951</v>
      </c>
      <c r="K18" s="1">
        <v>45235128</v>
      </c>
      <c r="L18" t="s">
        <v>186</v>
      </c>
    </row>
    <row r="19" spans="1:14" x14ac:dyDescent="0.3">
      <c r="A19" t="s">
        <v>26</v>
      </c>
      <c r="B19" t="s">
        <v>110</v>
      </c>
      <c r="C19" s="3">
        <v>34772</v>
      </c>
      <c r="E19">
        <v>8060</v>
      </c>
      <c r="F19" t="s">
        <v>110</v>
      </c>
      <c r="G19" t="s">
        <v>122</v>
      </c>
      <c r="H19" t="s">
        <v>123</v>
      </c>
      <c r="I19" t="s">
        <v>123</v>
      </c>
      <c r="J19">
        <v>71428124744</v>
      </c>
      <c r="K19" s="1">
        <v>109128229</v>
      </c>
      <c r="L19" t="s">
        <v>124</v>
      </c>
      <c r="M19">
        <v>6306120498</v>
      </c>
    </row>
    <row r="20" spans="1:14" x14ac:dyDescent="0.3">
      <c r="A20" t="s">
        <v>27</v>
      </c>
      <c r="B20" t="s">
        <v>193</v>
      </c>
      <c r="C20" s="3">
        <v>34509</v>
      </c>
      <c r="E20">
        <v>8000</v>
      </c>
      <c r="F20" t="s">
        <v>51</v>
      </c>
      <c r="G20" t="s">
        <v>171</v>
      </c>
      <c r="H20" t="s">
        <v>173</v>
      </c>
      <c r="I20" t="s">
        <v>172</v>
      </c>
      <c r="J20">
        <v>71537961583</v>
      </c>
      <c r="K20" s="1">
        <v>108317567</v>
      </c>
      <c r="L20" t="s">
        <v>174</v>
      </c>
      <c r="M20">
        <v>6209857384</v>
      </c>
      <c r="N20" t="s">
        <v>217</v>
      </c>
    </row>
    <row r="21" spans="1:14" x14ac:dyDescent="0.3">
      <c r="A21" t="s">
        <v>28</v>
      </c>
      <c r="B21" t="s">
        <v>51</v>
      </c>
      <c r="C21" s="3">
        <v>34826</v>
      </c>
      <c r="E21">
        <v>8000</v>
      </c>
      <c r="F21" t="s">
        <v>51</v>
      </c>
      <c r="G21" t="s">
        <v>152</v>
      </c>
      <c r="H21" t="s">
        <v>153</v>
      </c>
      <c r="I21" t="s">
        <v>154</v>
      </c>
      <c r="J21">
        <v>75371450652</v>
      </c>
      <c r="K21" s="1">
        <v>109247878</v>
      </c>
      <c r="L21" t="s">
        <v>155</v>
      </c>
      <c r="M21">
        <v>6703612353</v>
      </c>
    </row>
    <row r="22" spans="1:14" x14ac:dyDescent="0.3">
      <c r="A22" t="s">
        <v>29</v>
      </c>
      <c r="B22" t="s">
        <v>51</v>
      </c>
      <c r="C22" s="3">
        <v>34692</v>
      </c>
      <c r="F22" t="s">
        <v>51</v>
      </c>
      <c r="G22" t="s">
        <v>104</v>
      </c>
      <c r="H22" t="s">
        <v>105</v>
      </c>
      <c r="I22" t="s">
        <v>105</v>
      </c>
      <c r="J22">
        <v>72840376253</v>
      </c>
      <c r="K22">
        <v>95730697</v>
      </c>
      <c r="L22" t="s">
        <v>106</v>
      </c>
      <c r="M22">
        <v>6202982602</v>
      </c>
    </row>
    <row r="23" spans="1:14" x14ac:dyDescent="0.3">
      <c r="A23" t="s">
        <v>30</v>
      </c>
      <c r="B23" t="s">
        <v>51</v>
      </c>
      <c r="C23" s="3">
        <v>34675</v>
      </c>
      <c r="E23">
        <v>8000</v>
      </c>
      <c r="F23" t="s">
        <v>51</v>
      </c>
      <c r="G23" t="s">
        <v>99</v>
      </c>
      <c r="H23" t="s">
        <v>100</v>
      </c>
      <c r="I23" t="s">
        <v>100</v>
      </c>
      <c r="J23">
        <v>76800608548</v>
      </c>
      <c r="K23" s="1">
        <v>95707477</v>
      </c>
      <c r="L23" t="s">
        <v>101</v>
      </c>
      <c r="M23">
        <v>6303943382</v>
      </c>
    </row>
    <row r="24" spans="1:14" x14ac:dyDescent="0.3">
      <c r="A24" t="s">
        <v>31</v>
      </c>
      <c r="B24" t="s">
        <v>51</v>
      </c>
      <c r="C24" s="3">
        <v>34770</v>
      </c>
      <c r="E24">
        <v>8000</v>
      </c>
      <c r="F24" t="s">
        <v>51</v>
      </c>
      <c r="G24" t="s">
        <v>156</v>
      </c>
      <c r="H24" t="s">
        <v>157</v>
      </c>
      <c r="I24" t="s">
        <v>157</v>
      </c>
      <c r="J24">
        <v>72939282970</v>
      </c>
      <c r="K24" s="1">
        <v>109117133</v>
      </c>
      <c r="L24" t="s">
        <v>158</v>
      </c>
      <c r="M24">
        <v>6205927278</v>
      </c>
    </row>
    <row r="25" spans="1:14" x14ac:dyDescent="0.3">
      <c r="A25" t="s">
        <v>32</v>
      </c>
      <c r="B25" t="s">
        <v>51</v>
      </c>
      <c r="C25" s="3">
        <v>34495</v>
      </c>
      <c r="D25" t="s">
        <v>176</v>
      </c>
      <c r="E25">
        <v>7018</v>
      </c>
      <c r="F25" t="s">
        <v>125</v>
      </c>
      <c r="G25" t="s">
        <v>220</v>
      </c>
      <c r="H25" t="s">
        <v>126</v>
      </c>
      <c r="I25" t="s">
        <v>126</v>
      </c>
      <c r="J25">
        <v>75780896303</v>
      </c>
      <c r="K25">
        <v>108278730</v>
      </c>
      <c r="L25" t="s">
        <v>127</v>
      </c>
      <c r="M25">
        <v>6309222381</v>
      </c>
      <c r="N25" t="s">
        <v>217</v>
      </c>
    </row>
    <row r="26" spans="1:14" x14ac:dyDescent="0.3">
      <c r="A26" t="s">
        <v>33</v>
      </c>
      <c r="B26" t="s">
        <v>51</v>
      </c>
      <c r="C26" s="3">
        <v>34582</v>
      </c>
      <c r="D26" t="s">
        <v>222</v>
      </c>
      <c r="E26">
        <v>8154</v>
      </c>
      <c r="F26" t="s">
        <v>161</v>
      </c>
      <c r="G26" t="s">
        <v>200</v>
      </c>
      <c r="H26" t="s">
        <v>159</v>
      </c>
      <c r="I26" t="s">
        <v>160</v>
      </c>
      <c r="J26">
        <v>74235261627</v>
      </c>
      <c r="K26" s="1">
        <v>108555875</v>
      </c>
      <c r="L26" t="s">
        <v>201</v>
      </c>
      <c r="M26">
        <v>6304375201</v>
      </c>
    </row>
    <row r="27" spans="1:14" x14ac:dyDescent="0.3">
      <c r="A27" t="s">
        <v>202</v>
      </c>
      <c r="B27" t="s">
        <v>51</v>
      </c>
      <c r="C27" s="3">
        <v>34563</v>
      </c>
      <c r="E27">
        <v>2471</v>
      </c>
      <c r="F27" t="s">
        <v>141</v>
      </c>
      <c r="G27" t="s">
        <v>203</v>
      </c>
      <c r="H27" t="s">
        <v>219</v>
      </c>
      <c r="I27" t="s">
        <v>204</v>
      </c>
      <c r="J27">
        <v>76866146406</v>
      </c>
      <c r="K27">
        <v>108483880</v>
      </c>
      <c r="L27" t="s">
        <v>205</v>
      </c>
      <c r="M27">
        <v>6706787747</v>
      </c>
    </row>
    <row r="28" spans="1:14" x14ac:dyDescent="0.3">
      <c r="A28" t="s">
        <v>34</v>
      </c>
      <c r="B28" t="s">
        <v>51</v>
      </c>
      <c r="C28" s="3">
        <v>34614</v>
      </c>
      <c r="E28">
        <v>8000</v>
      </c>
      <c r="F28" t="s">
        <v>51</v>
      </c>
      <c r="G28" t="s">
        <v>118</v>
      </c>
      <c r="H28" t="s">
        <v>119</v>
      </c>
      <c r="I28" t="s">
        <v>135</v>
      </c>
      <c r="J28">
        <v>75955254415</v>
      </c>
      <c r="K28">
        <v>108656453</v>
      </c>
      <c r="L28" t="s">
        <v>120</v>
      </c>
    </row>
    <row r="29" spans="1:14" x14ac:dyDescent="0.3">
      <c r="A29" t="s">
        <v>35</v>
      </c>
      <c r="B29" t="s">
        <v>51</v>
      </c>
      <c r="C29" s="3">
        <v>34620</v>
      </c>
      <c r="E29">
        <v>8154</v>
      </c>
      <c r="F29" t="s">
        <v>161</v>
      </c>
      <c r="G29" t="s">
        <v>221</v>
      </c>
      <c r="H29" t="s">
        <v>129</v>
      </c>
      <c r="I29" t="s">
        <v>128</v>
      </c>
      <c r="K29">
        <v>108673609</v>
      </c>
      <c r="L29" t="s">
        <v>130</v>
      </c>
      <c r="M29">
        <v>6208055388</v>
      </c>
    </row>
    <row r="30" spans="1:14" x14ac:dyDescent="0.3">
      <c r="A30" t="s">
        <v>36</v>
      </c>
      <c r="B30" t="s">
        <v>72</v>
      </c>
      <c r="C30" s="3">
        <v>34602</v>
      </c>
      <c r="E30">
        <v>7000</v>
      </c>
      <c r="F30" t="s">
        <v>143</v>
      </c>
      <c r="G30" t="s">
        <v>144</v>
      </c>
      <c r="H30" t="s">
        <v>136</v>
      </c>
      <c r="I30" t="s">
        <v>137</v>
      </c>
      <c r="J30">
        <v>79397822132</v>
      </c>
      <c r="K30">
        <v>108640001</v>
      </c>
      <c r="L30" t="s">
        <v>138</v>
      </c>
      <c r="M30">
        <v>6303196951</v>
      </c>
    </row>
    <row r="31" spans="1:14" x14ac:dyDescent="0.3">
      <c r="A31" t="s">
        <v>37</v>
      </c>
      <c r="B31" t="s">
        <v>110</v>
      </c>
      <c r="C31" s="3">
        <v>34653</v>
      </c>
      <c r="E31">
        <v>8056</v>
      </c>
      <c r="F31" t="s">
        <v>192</v>
      </c>
      <c r="G31" t="s">
        <v>134</v>
      </c>
      <c r="H31" t="s">
        <v>133</v>
      </c>
      <c r="I31" t="s">
        <v>132</v>
      </c>
      <c r="J31">
        <v>76213644779</v>
      </c>
      <c r="K31">
        <v>95677897</v>
      </c>
      <c r="L31" t="s">
        <v>131</v>
      </c>
      <c r="M31">
        <v>6203630895</v>
      </c>
    </row>
    <row r="32" spans="1:14" x14ac:dyDescent="0.3">
      <c r="A32" t="s">
        <v>38</v>
      </c>
      <c r="B32" t="s">
        <v>51</v>
      </c>
      <c r="C32" s="3">
        <v>34535</v>
      </c>
      <c r="F32" t="s">
        <v>51</v>
      </c>
      <c r="G32" t="s">
        <v>142</v>
      </c>
      <c r="H32" t="s">
        <v>194</v>
      </c>
      <c r="I32" t="s">
        <v>223</v>
      </c>
      <c r="J32">
        <v>74948144823</v>
      </c>
      <c r="K32">
        <v>108396856</v>
      </c>
      <c r="L32" t="s">
        <v>121</v>
      </c>
      <c r="M32">
        <v>6306115733</v>
      </c>
    </row>
    <row r="33" spans="1:15" x14ac:dyDescent="0.3">
      <c r="A33" t="s">
        <v>39</v>
      </c>
      <c r="B33" t="s">
        <v>51</v>
      </c>
      <c r="C33" s="3">
        <v>34845</v>
      </c>
      <c r="E33">
        <v>2471</v>
      </c>
      <c r="F33" t="s">
        <v>141</v>
      </c>
      <c r="G33" t="s">
        <v>140</v>
      </c>
      <c r="H33" t="s">
        <v>145</v>
      </c>
      <c r="I33" t="s">
        <v>146</v>
      </c>
      <c r="J33">
        <v>72736477462</v>
      </c>
      <c r="K33">
        <v>96271436</v>
      </c>
      <c r="L33" t="s">
        <v>147</v>
      </c>
      <c r="M33">
        <v>306115733</v>
      </c>
    </row>
    <row r="34" spans="1:15" x14ac:dyDescent="0.3">
      <c r="A34" t="s">
        <v>40</v>
      </c>
      <c r="B34" t="s">
        <v>51</v>
      </c>
      <c r="C34" s="3">
        <v>34611</v>
      </c>
      <c r="E34">
        <v>8132</v>
      </c>
      <c r="F34" t="s">
        <v>107</v>
      </c>
      <c r="G34" t="s">
        <v>108</v>
      </c>
      <c r="H34" t="s">
        <v>109</v>
      </c>
      <c r="I34" t="s">
        <v>109</v>
      </c>
      <c r="J34">
        <v>76588256291</v>
      </c>
      <c r="K34">
        <v>108653287</v>
      </c>
      <c r="L34" t="s">
        <v>170</v>
      </c>
      <c r="M34">
        <v>6205997568</v>
      </c>
    </row>
    <row r="35" spans="1:15" x14ac:dyDescent="0.3">
      <c r="A35" t="s">
        <v>162</v>
      </c>
      <c r="B35" t="s">
        <v>51</v>
      </c>
      <c r="C35" s="3">
        <v>34558</v>
      </c>
      <c r="E35">
        <v>8000</v>
      </c>
      <c r="F35" t="s">
        <v>51</v>
      </c>
      <c r="G35" t="s">
        <v>195</v>
      </c>
      <c r="H35" t="s">
        <v>196</v>
      </c>
      <c r="I35" t="s">
        <v>196</v>
      </c>
      <c r="M35">
        <v>6306569427</v>
      </c>
      <c r="O35" t="s">
        <v>217</v>
      </c>
    </row>
    <row r="36" spans="1:15" x14ac:dyDescent="0.3">
      <c r="A36" t="s">
        <v>41</v>
      </c>
      <c r="B36" t="s">
        <v>51</v>
      </c>
      <c r="C36" s="3">
        <v>34396</v>
      </c>
      <c r="E36">
        <v>8111</v>
      </c>
      <c r="F36" t="s">
        <v>81</v>
      </c>
      <c r="G36" t="s">
        <v>102</v>
      </c>
      <c r="H36" t="s">
        <v>66</v>
      </c>
      <c r="I36" t="s">
        <v>66</v>
      </c>
      <c r="J36">
        <v>78021995140</v>
      </c>
      <c r="K36">
        <v>108075058</v>
      </c>
      <c r="L36" t="s">
        <v>103</v>
      </c>
      <c r="M36">
        <v>6306254299</v>
      </c>
    </row>
    <row r="37" spans="1:15" x14ac:dyDescent="0.3">
      <c r="A37" t="s">
        <v>42</v>
      </c>
      <c r="B37" t="s">
        <v>197</v>
      </c>
      <c r="C37" s="3">
        <v>34430</v>
      </c>
      <c r="E37">
        <v>8000</v>
      </c>
      <c r="F37" t="s">
        <v>51</v>
      </c>
      <c r="G37" t="s">
        <v>198</v>
      </c>
      <c r="H37" t="s">
        <v>199</v>
      </c>
      <c r="I37" t="s">
        <v>187</v>
      </c>
      <c r="J37">
        <v>75171285230</v>
      </c>
      <c r="K37" s="1">
        <v>93816151</v>
      </c>
      <c r="L37" t="s">
        <v>188</v>
      </c>
      <c r="M37">
        <v>6305190417</v>
      </c>
      <c r="N37" t="s">
        <v>217</v>
      </c>
    </row>
    <row r="38" spans="1:15" x14ac:dyDescent="0.3">
      <c r="M38">
        <v>6305796559</v>
      </c>
    </row>
  </sheetData>
  <sortState ref="A2:O37">
    <sortCondition ref="A2"/>
  </sortState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8"/>
  <sheetViews>
    <sheetView workbookViewId="0"/>
  </sheetViews>
  <sheetFormatPr defaultRowHeight="14.4" x14ac:dyDescent="0.3"/>
  <cols>
    <col min="1" max="1" width="21.88671875" bestFit="1" customWidth="1"/>
    <col min="2" max="2" width="12.33203125" bestFit="1" customWidth="1"/>
    <col min="3" max="3" width="10.88671875" bestFit="1" customWidth="1"/>
    <col min="4" max="4" width="13.88671875" bestFit="1" customWidth="1"/>
    <col min="5" max="5" width="12.33203125" bestFit="1" customWidth="1"/>
  </cols>
  <sheetData>
    <row r="1" spans="1:5" x14ac:dyDescent="0.3">
      <c r="A1" t="s">
        <v>0</v>
      </c>
      <c r="B1" t="s">
        <v>5</v>
      </c>
      <c r="C1" t="s">
        <v>6</v>
      </c>
      <c r="D1" t="s">
        <v>7</v>
      </c>
      <c r="E1" t="s">
        <v>8</v>
      </c>
    </row>
    <row r="2" spans="1:5" x14ac:dyDescent="0.3">
      <c r="A2" t="s">
        <v>9</v>
      </c>
      <c r="B2">
        <v>74658032733</v>
      </c>
      <c r="C2" s="1">
        <v>93841265</v>
      </c>
      <c r="D2" t="s">
        <v>88</v>
      </c>
      <c r="E2">
        <v>6202590154</v>
      </c>
    </row>
    <row r="3" spans="1:5" x14ac:dyDescent="0.3">
      <c r="A3" t="s">
        <v>10</v>
      </c>
      <c r="B3">
        <v>71369982882</v>
      </c>
      <c r="C3" s="1">
        <v>109257314</v>
      </c>
      <c r="D3" t="s">
        <v>54</v>
      </c>
      <c r="E3">
        <v>6202280101</v>
      </c>
    </row>
    <row r="4" spans="1:5" x14ac:dyDescent="0.3">
      <c r="A4" t="s">
        <v>11</v>
      </c>
      <c r="B4">
        <v>76463084514</v>
      </c>
      <c r="C4">
        <v>94990373</v>
      </c>
      <c r="D4" t="s">
        <v>113</v>
      </c>
      <c r="E4">
        <v>6305134894</v>
      </c>
    </row>
    <row r="5" spans="1:5" x14ac:dyDescent="0.3">
      <c r="A5" t="s">
        <v>12</v>
      </c>
      <c r="B5">
        <v>79207261473</v>
      </c>
      <c r="C5">
        <v>108606283</v>
      </c>
      <c r="D5" t="s">
        <v>58</v>
      </c>
      <c r="E5">
        <v>6302401462</v>
      </c>
    </row>
    <row r="6" spans="1:5" x14ac:dyDescent="0.3">
      <c r="A6" t="s">
        <v>13</v>
      </c>
      <c r="B6">
        <v>77062133203</v>
      </c>
      <c r="C6" s="1">
        <v>108711518</v>
      </c>
      <c r="D6" t="s">
        <v>59</v>
      </c>
      <c r="E6">
        <v>6702462930</v>
      </c>
    </row>
    <row r="7" spans="1:5" x14ac:dyDescent="0.3">
      <c r="A7" t="s">
        <v>14</v>
      </c>
      <c r="B7">
        <v>73156160381</v>
      </c>
      <c r="C7" s="1">
        <v>108352014</v>
      </c>
      <c r="D7" t="s">
        <v>63</v>
      </c>
      <c r="E7">
        <v>6304245419</v>
      </c>
    </row>
    <row r="8" spans="1:5" x14ac:dyDescent="0.3">
      <c r="A8" t="s">
        <v>15</v>
      </c>
      <c r="B8">
        <v>71367841992</v>
      </c>
      <c r="C8" s="1">
        <v>108206278</v>
      </c>
      <c r="D8" t="s">
        <v>67</v>
      </c>
      <c r="E8">
        <v>6703967796</v>
      </c>
    </row>
    <row r="9" spans="1:5" x14ac:dyDescent="0.3">
      <c r="A9" t="s">
        <v>16</v>
      </c>
      <c r="B9">
        <v>75847182990</v>
      </c>
      <c r="C9" s="1">
        <v>109225768</v>
      </c>
      <c r="D9" t="s">
        <v>71</v>
      </c>
      <c r="E9">
        <v>6204284889</v>
      </c>
    </row>
    <row r="10" spans="1:5" x14ac:dyDescent="0.3">
      <c r="A10" t="s">
        <v>17</v>
      </c>
      <c r="B10">
        <v>1212293630</v>
      </c>
      <c r="C10" s="1">
        <v>95958253</v>
      </c>
      <c r="D10" t="s">
        <v>76</v>
      </c>
      <c r="E10">
        <v>6307108760</v>
      </c>
    </row>
    <row r="11" spans="1:5" x14ac:dyDescent="0.3">
      <c r="A11" t="s">
        <v>18</v>
      </c>
      <c r="B11">
        <v>77723144761</v>
      </c>
      <c r="C11" s="1">
        <v>108353729</v>
      </c>
      <c r="D11" t="s">
        <v>80</v>
      </c>
      <c r="E11">
        <v>6304168661</v>
      </c>
    </row>
    <row r="12" spans="1:5" x14ac:dyDescent="0.3">
      <c r="A12" t="s">
        <v>224</v>
      </c>
    </row>
    <row r="13" spans="1:5" x14ac:dyDescent="0.3">
      <c r="A13" t="s">
        <v>19</v>
      </c>
      <c r="B13">
        <v>75785782495</v>
      </c>
      <c r="C13" s="1">
        <v>93848594</v>
      </c>
      <c r="D13" t="s">
        <v>94</v>
      </c>
      <c r="E13" s="1">
        <v>6305972618</v>
      </c>
    </row>
    <row r="14" spans="1:5" x14ac:dyDescent="0.3">
      <c r="A14" t="s">
        <v>20</v>
      </c>
      <c r="B14">
        <v>75838724963</v>
      </c>
      <c r="C14" s="1">
        <v>93761855</v>
      </c>
      <c r="D14" t="s">
        <v>151</v>
      </c>
      <c r="E14">
        <v>6202783428</v>
      </c>
    </row>
    <row r="15" spans="1:5" x14ac:dyDescent="0.3">
      <c r="A15" t="s">
        <v>21</v>
      </c>
      <c r="B15">
        <v>72673217864</v>
      </c>
      <c r="C15" s="1">
        <v>93778431</v>
      </c>
      <c r="D15" t="s">
        <v>84</v>
      </c>
      <c r="E15">
        <v>6307033782</v>
      </c>
    </row>
    <row r="16" spans="1:5" x14ac:dyDescent="0.3">
      <c r="A16" t="s">
        <v>22</v>
      </c>
      <c r="B16">
        <v>79846392551</v>
      </c>
      <c r="C16" s="1">
        <v>108696871</v>
      </c>
      <c r="D16" t="s">
        <v>91</v>
      </c>
      <c r="E16">
        <v>6307324782</v>
      </c>
    </row>
    <row r="17" spans="1:5" x14ac:dyDescent="0.3">
      <c r="A17" t="s">
        <v>23</v>
      </c>
      <c r="B17">
        <v>74187481213</v>
      </c>
      <c r="C17" s="1">
        <v>96067053</v>
      </c>
      <c r="D17" t="s">
        <v>117</v>
      </c>
      <c r="E17">
        <v>6202442201</v>
      </c>
    </row>
    <row r="18" spans="1:5" x14ac:dyDescent="0.3">
      <c r="A18" t="s">
        <v>24</v>
      </c>
      <c r="B18">
        <v>72296817482</v>
      </c>
      <c r="C18" s="1">
        <v>108317828</v>
      </c>
      <c r="D18" t="s">
        <v>98</v>
      </c>
      <c r="E18">
        <v>6304299133</v>
      </c>
    </row>
    <row r="19" spans="1:5" x14ac:dyDescent="0.3">
      <c r="A19" t="s">
        <v>25</v>
      </c>
      <c r="B19">
        <v>77152616951</v>
      </c>
      <c r="C19" s="1">
        <v>45235128</v>
      </c>
      <c r="D19" t="s">
        <v>186</v>
      </c>
    </row>
    <row r="20" spans="1:5" x14ac:dyDescent="0.3">
      <c r="A20" t="s">
        <v>26</v>
      </c>
      <c r="B20">
        <v>71428124744</v>
      </c>
      <c r="C20" s="1">
        <v>109128229</v>
      </c>
      <c r="D20" t="s">
        <v>124</v>
      </c>
      <c r="E20">
        <v>6306120498</v>
      </c>
    </row>
    <row r="21" spans="1:5" x14ac:dyDescent="0.3">
      <c r="A21" t="s">
        <v>27</v>
      </c>
      <c r="B21">
        <v>71537961583</v>
      </c>
      <c r="C21" s="1">
        <v>108317567</v>
      </c>
      <c r="D21" t="s">
        <v>174</v>
      </c>
      <c r="E21">
        <v>6209857384</v>
      </c>
    </row>
    <row r="22" spans="1:5" x14ac:dyDescent="0.3">
      <c r="A22" t="s">
        <v>28</v>
      </c>
      <c r="B22">
        <v>75371450652</v>
      </c>
      <c r="C22" s="1">
        <v>109247878</v>
      </c>
      <c r="D22" t="s">
        <v>155</v>
      </c>
      <c r="E22">
        <v>6703612353</v>
      </c>
    </row>
    <row r="23" spans="1:5" x14ac:dyDescent="0.3">
      <c r="A23" t="s">
        <v>29</v>
      </c>
      <c r="B23">
        <v>72840376253</v>
      </c>
      <c r="C23">
        <v>95730697</v>
      </c>
      <c r="D23" t="s">
        <v>106</v>
      </c>
      <c r="E23">
        <v>6202982602</v>
      </c>
    </row>
    <row r="24" spans="1:5" x14ac:dyDescent="0.3">
      <c r="A24" t="s">
        <v>30</v>
      </c>
      <c r="B24">
        <v>76800608548</v>
      </c>
      <c r="C24" s="1">
        <v>95707477</v>
      </c>
      <c r="D24" t="s">
        <v>101</v>
      </c>
      <c r="E24">
        <v>6303943382</v>
      </c>
    </row>
    <row r="25" spans="1:5" x14ac:dyDescent="0.3">
      <c r="A25" t="s">
        <v>31</v>
      </c>
      <c r="B25">
        <v>72939282970</v>
      </c>
      <c r="C25" s="1">
        <v>109117133</v>
      </c>
      <c r="D25" t="s">
        <v>158</v>
      </c>
      <c r="E25">
        <v>6205927278</v>
      </c>
    </row>
    <row r="26" spans="1:5" x14ac:dyDescent="0.3">
      <c r="A26" t="s">
        <v>32</v>
      </c>
      <c r="B26">
        <v>75780896303</v>
      </c>
      <c r="C26">
        <v>108278730</v>
      </c>
      <c r="D26" t="s">
        <v>127</v>
      </c>
      <c r="E26">
        <v>6309222381</v>
      </c>
    </row>
    <row r="27" spans="1:5" x14ac:dyDescent="0.3">
      <c r="A27" t="s">
        <v>33</v>
      </c>
      <c r="B27">
        <v>74235261627</v>
      </c>
      <c r="C27" s="1">
        <v>108555875</v>
      </c>
      <c r="D27" t="s">
        <v>201</v>
      </c>
      <c r="E27">
        <v>6304375201</v>
      </c>
    </row>
    <row r="28" spans="1:5" x14ac:dyDescent="0.3">
      <c r="A28" t="s">
        <v>202</v>
      </c>
      <c r="B28">
        <v>76866146406</v>
      </c>
      <c r="C28">
        <v>108483880</v>
      </c>
      <c r="D28" t="s">
        <v>205</v>
      </c>
      <c r="E28">
        <v>6706787747</v>
      </c>
    </row>
    <row r="29" spans="1:5" x14ac:dyDescent="0.3">
      <c r="A29" t="s">
        <v>34</v>
      </c>
      <c r="B29">
        <v>75955254415</v>
      </c>
      <c r="C29">
        <v>108656453</v>
      </c>
      <c r="D29" t="s">
        <v>120</v>
      </c>
    </row>
    <row r="30" spans="1:5" x14ac:dyDescent="0.3">
      <c r="A30" t="s">
        <v>35</v>
      </c>
      <c r="C30">
        <v>108673609</v>
      </c>
      <c r="D30" t="s">
        <v>130</v>
      </c>
      <c r="E30">
        <v>6208055388</v>
      </c>
    </row>
    <row r="31" spans="1:5" x14ac:dyDescent="0.3">
      <c r="A31" t="s">
        <v>36</v>
      </c>
      <c r="B31">
        <v>79397822132</v>
      </c>
      <c r="C31">
        <v>108640001</v>
      </c>
      <c r="D31" t="s">
        <v>138</v>
      </c>
      <c r="E31">
        <v>6303196951</v>
      </c>
    </row>
    <row r="32" spans="1:5" x14ac:dyDescent="0.3">
      <c r="A32" t="s">
        <v>37</v>
      </c>
      <c r="B32">
        <v>76213644779</v>
      </c>
      <c r="C32">
        <v>95677897</v>
      </c>
      <c r="D32" t="s">
        <v>131</v>
      </c>
      <c r="E32">
        <v>6203630895</v>
      </c>
    </row>
    <row r="33" spans="1:5" x14ac:dyDescent="0.3">
      <c r="A33" t="s">
        <v>38</v>
      </c>
      <c r="B33">
        <v>74948144823</v>
      </c>
      <c r="C33">
        <v>108396856</v>
      </c>
      <c r="D33" t="s">
        <v>121</v>
      </c>
      <c r="E33">
        <v>6306115733</v>
      </c>
    </row>
    <row r="34" spans="1:5" x14ac:dyDescent="0.3">
      <c r="A34" t="s">
        <v>39</v>
      </c>
      <c r="B34">
        <v>72736477462</v>
      </c>
      <c r="C34">
        <v>96271436</v>
      </c>
      <c r="D34" t="s">
        <v>147</v>
      </c>
      <c r="E34">
        <v>306115733</v>
      </c>
    </row>
    <row r="35" spans="1:5" x14ac:dyDescent="0.3">
      <c r="A35" t="s">
        <v>40</v>
      </c>
      <c r="B35">
        <v>76588256291</v>
      </c>
      <c r="C35">
        <v>108653287</v>
      </c>
      <c r="D35" t="s">
        <v>170</v>
      </c>
      <c r="E35">
        <v>6205997568</v>
      </c>
    </row>
    <row r="36" spans="1:5" x14ac:dyDescent="0.3">
      <c r="A36" t="s">
        <v>162</v>
      </c>
      <c r="E36">
        <v>6306569427</v>
      </c>
    </row>
    <row r="37" spans="1:5" x14ac:dyDescent="0.3">
      <c r="A37" t="s">
        <v>41</v>
      </c>
      <c r="B37">
        <v>78021995140</v>
      </c>
      <c r="C37">
        <v>108075058</v>
      </c>
      <c r="D37" t="s">
        <v>103</v>
      </c>
      <c r="E37">
        <v>6306254299</v>
      </c>
    </row>
    <row r="38" spans="1:5" x14ac:dyDescent="0.3">
      <c r="A38" t="s">
        <v>42</v>
      </c>
      <c r="B38">
        <v>75171285230</v>
      </c>
      <c r="C38" s="1">
        <v>93816151</v>
      </c>
      <c r="D38" t="s">
        <v>188</v>
      </c>
      <c r="E38">
        <v>6305190417</v>
      </c>
    </row>
  </sheetData>
  <sortState ref="A2:E38">
    <sortCondition ref="A3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"/>
  <sheetViews>
    <sheetView workbookViewId="0">
      <selection activeCell="B6" sqref="B6"/>
    </sheetView>
  </sheetViews>
  <sheetFormatPr defaultRowHeight="14.4" x14ac:dyDescent="0.3"/>
  <cols>
    <col min="1" max="1" width="30.5546875" bestFit="1" customWidth="1"/>
  </cols>
  <sheetData>
    <row r="1" spans="1:7" x14ac:dyDescent="0.3">
      <c r="B1" s="12" t="s">
        <v>264</v>
      </c>
      <c r="C1" s="12"/>
      <c r="D1" s="12"/>
      <c r="E1" s="12"/>
      <c r="F1" s="12"/>
    </row>
    <row r="2" spans="1:7" x14ac:dyDescent="0.3">
      <c r="B2" t="s">
        <v>43</v>
      </c>
      <c r="C2" t="s">
        <v>44</v>
      </c>
      <c r="D2" t="s">
        <v>45</v>
      </c>
      <c r="E2" t="s">
        <v>46</v>
      </c>
      <c r="F2" t="s">
        <v>47</v>
      </c>
    </row>
    <row r="3" spans="1:7" x14ac:dyDescent="0.3">
      <c r="A3">
        <v>1</v>
      </c>
      <c r="D3" t="s">
        <v>48</v>
      </c>
    </row>
    <row r="4" spans="1:7" x14ac:dyDescent="0.3">
      <c r="A4">
        <v>2</v>
      </c>
      <c r="B4" t="s">
        <v>48</v>
      </c>
      <c r="E4" t="s">
        <v>259</v>
      </c>
      <c r="F4" t="s">
        <v>48</v>
      </c>
    </row>
    <row r="5" spans="1:7" x14ac:dyDescent="0.3">
      <c r="A5">
        <v>3</v>
      </c>
      <c r="C5" t="s">
        <v>265</v>
      </c>
      <c r="D5" t="s">
        <v>256</v>
      </c>
      <c r="E5" t="s">
        <v>263</v>
      </c>
      <c r="F5" t="s">
        <v>256</v>
      </c>
    </row>
    <row r="6" spans="1:7" x14ac:dyDescent="0.3">
      <c r="A6">
        <v>4</v>
      </c>
      <c r="B6" t="s">
        <v>248</v>
      </c>
      <c r="C6" t="s">
        <v>253</v>
      </c>
      <c r="D6" t="s">
        <v>257</v>
      </c>
      <c r="E6" t="s">
        <v>280</v>
      </c>
      <c r="F6" t="s">
        <v>261</v>
      </c>
    </row>
    <row r="7" spans="1:7" x14ac:dyDescent="0.3">
      <c r="A7">
        <v>5</v>
      </c>
      <c r="B7" t="s">
        <v>249</v>
      </c>
      <c r="C7" t="s">
        <v>253</v>
      </c>
      <c r="D7" t="s">
        <v>258</v>
      </c>
    </row>
    <row r="8" spans="1:7" x14ac:dyDescent="0.3">
      <c r="A8">
        <v>6</v>
      </c>
      <c r="B8" t="s">
        <v>250</v>
      </c>
      <c r="C8" t="s">
        <v>254</v>
      </c>
      <c r="E8" t="s">
        <v>260</v>
      </c>
      <c r="F8" t="s">
        <v>262</v>
      </c>
    </row>
    <row r="9" spans="1:7" x14ac:dyDescent="0.3">
      <c r="A9">
        <v>7</v>
      </c>
      <c r="B9" t="s">
        <v>251</v>
      </c>
      <c r="C9" t="s">
        <v>255</v>
      </c>
      <c r="E9" t="s">
        <v>258</v>
      </c>
      <c r="F9" t="s">
        <v>262</v>
      </c>
    </row>
    <row r="10" spans="1:7" x14ac:dyDescent="0.3">
      <c r="A10">
        <v>8</v>
      </c>
      <c r="F10" t="s">
        <v>252</v>
      </c>
    </row>
    <row r="11" spans="1:7" x14ac:dyDescent="0.3">
      <c r="A11">
        <v>9</v>
      </c>
      <c r="B11" t="s">
        <v>252</v>
      </c>
    </row>
    <row r="15" spans="1:7" x14ac:dyDescent="0.3">
      <c r="A15" s="11" t="s">
        <v>215</v>
      </c>
      <c r="B15" s="11"/>
      <c r="C15" s="11"/>
      <c r="D15" s="11"/>
      <c r="E15" s="11"/>
      <c r="F15" s="11"/>
      <c r="G15" s="11"/>
    </row>
    <row r="16" spans="1:7" x14ac:dyDescent="0.3">
      <c r="A16" s="4" t="s">
        <v>163</v>
      </c>
      <c r="B16">
        <v>8</v>
      </c>
      <c r="C16">
        <v>9.5</v>
      </c>
      <c r="D16">
        <v>7.5</v>
      </c>
      <c r="E16">
        <v>7.5</v>
      </c>
      <c r="F16">
        <v>8.5</v>
      </c>
    </row>
    <row r="17" spans="1:7" x14ac:dyDescent="0.3">
      <c r="A17" s="4" t="s">
        <v>164</v>
      </c>
      <c r="B17">
        <v>16</v>
      </c>
      <c r="C17">
        <v>14.5</v>
      </c>
      <c r="D17">
        <v>12.75</v>
      </c>
      <c r="E17">
        <v>14.5</v>
      </c>
      <c r="F17">
        <v>15.25</v>
      </c>
    </row>
    <row r="18" spans="1:7" x14ac:dyDescent="0.3">
      <c r="A18" s="4" t="s">
        <v>165</v>
      </c>
      <c r="B18">
        <f>B17-B16</f>
        <v>8</v>
      </c>
      <c r="C18">
        <f>C17-C16</f>
        <v>5</v>
      </c>
      <c r="D18">
        <f>D17-D16</f>
        <v>5.25</v>
      </c>
      <c r="E18">
        <f>E17-E16</f>
        <v>7</v>
      </c>
      <c r="F18">
        <f>F17-F16</f>
        <v>6.75</v>
      </c>
      <c r="G18">
        <f>SUM(B18:F18)</f>
        <v>32</v>
      </c>
    </row>
    <row r="19" spans="1:7" x14ac:dyDescent="0.3">
      <c r="A19" s="4"/>
    </row>
    <row r="22" spans="1:7" x14ac:dyDescent="0.3">
      <c r="A22" s="4" t="s">
        <v>208</v>
      </c>
      <c r="B22" t="s">
        <v>206</v>
      </c>
    </row>
    <row r="23" spans="1:7" x14ac:dyDescent="0.3">
      <c r="A23" s="4" t="s">
        <v>207</v>
      </c>
      <c r="B23" t="s">
        <v>206</v>
      </c>
    </row>
    <row r="24" spans="1:7" x14ac:dyDescent="0.3">
      <c r="A24" s="4" t="s">
        <v>209</v>
      </c>
      <c r="B24" t="s">
        <v>210</v>
      </c>
    </row>
    <row r="25" spans="1:7" x14ac:dyDescent="0.3">
      <c r="A25" s="4" t="s">
        <v>212</v>
      </c>
      <c r="B25" t="s">
        <v>211</v>
      </c>
    </row>
    <row r="26" spans="1:7" x14ac:dyDescent="0.3">
      <c r="A26" s="4" t="s">
        <v>213</v>
      </c>
      <c r="B26" t="s">
        <v>206</v>
      </c>
    </row>
  </sheetData>
  <mergeCells count="2">
    <mergeCell ref="A15:G15"/>
    <mergeCell ref="B1:F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1"/>
  <sheetViews>
    <sheetView workbookViewId="0">
      <selection activeCell="G13" sqref="G13"/>
    </sheetView>
  </sheetViews>
  <sheetFormatPr defaultRowHeight="14.4" x14ac:dyDescent="0.3"/>
  <cols>
    <col min="1" max="1" width="30.5546875" bestFit="1" customWidth="1"/>
  </cols>
  <sheetData>
    <row r="1" spans="1:7" x14ac:dyDescent="0.3">
      <c r="A1" s="13" t="s">
        <v>266</v>
      </c>
      <c r="B1" s="13"/>
      <c r="C1" s="13"/>
      <c r="D1" s="13"/>
      <c r="E1" s="13"/>
      <c r="F1" s="13"/>
    </row>
    <row r="2" spans="1:7" x14ac:dyDescent="0.3">
      <c r="A2" s="4"/>
    </row>
    <row r="3" spans="1:7" x14ac:dyDescent="0.3">
      <c r="A3" s="4"/>
      <c r="B3" s="2" t="s">
        <v>43</v>
      </c>
      <c r="C3" s="2" t="s">
        <v>44</v>
      </c>
      <c r="D3" s="2" t="s">
        <v>45</v>
      </c>
      <c r="E3" s="2" t="s">
        <v>46</v>
      </c>
      <c r="F3" s="2" t="s">
        <v>47</v>
      </c>
      <c r="G3" s="2"/>
    </row>
    <row r="4" spans="1:7" x14ac:dyDescent="0.3">
      <c r="A4" s="4">
        <v>1</v>
      </c>
      <c r="C4" t="s">
        <v>270</v>
      </c>
    </row>
    <row r="5" spans="1:7" x14ac:dyDescent="0.3">
      <c r="A5" s="4">
        <v>2</v>
      </c>
      <c r="B5" t="s">
        <v>48</v>
      </c>
      <c r="E5" t="s">
        <v>48</v>
      </c>
    </row>
    <row r="6" spans="1:7" x14ac:dyDescent="0.3">
      <c r="A6" s="4">
        <v>3</v>
      </c>
      <c r="B6" t="s">
        <v>256</v>
      </c>
      <c r="C6" t="s">
        <v>271</v>
      </c>
      <c r="D6" t="s">
        <v>271</v>
      </c>
      <c r="F6" t="s">
        <v>272</v>
      </c>
    </row>
    <row r="7" spans="1:7" x14ac:dyDescent="0.3">
      <c r="A7" s="4">
        <v>4</v>
      </c>
      <c r="B7" t="s">
        <v>267</v>
      </c>
      <c r="C7" t="s">
        <v>272</v>
      </c>
      <c r="D7" t="s">
        <v>275</v>
      </c>
      <c r="E7" t="s">
        <v>248</v>
      </c>
      <c r="F7" t="s">
        <v>279</v>
      </c>
    </row>
    <row r="8" spans="1:7" x14ac:dyDescent="0.3">
      <c r="A8" s="4">
        <v>5</v>
      </c>
      <c r="C8" t="s">
        <v>48</v>
      </c>
      <c r="D8" t="s">
        <v>276</v>
      </c>
      <c r="E8" t="s">
        <v>273</v>
      </c>
      <c r="F8" t="s">
        <v>279</v>
      </c>
    </row>
    <row r="9" spans="1:7" x14ac:dyDescent="0.3">
      <c r="A9" s="4">
        <v>6</v>
      </c>
      <c r="B9" t="s">
        <v>49</v>
      </c>
      <c r="C9" t="s">
        <v>273</v>
      </c>
      <c r="D9" t="s">
        <v>277</v>
      </c>
      <c r="F9" t="s">
        <v>48</v>
      </c>
    </row>
    <row r="10" spans="1:7" x14ac:dyDescent="0.3">
      <c r="A10" s="4">
        <v>7</v>
      </c>
      <c r="B10" t="s">
        <v>268</v>
      </c>
      <c r="C10" t="s">
        <v>274</v>
      </c>
      <c r="E10" t="s">
        <v>278</v>
      </c>
      <c r="F10" t="s">
        <v>270</v>
      </c>
    </row>
    <row r="11" spans="1:7" x14ac:dyDescent="0.3">
      <c r="A11" s="4">
        <v>8</v>
      </c>
      <c r="B11" t="s">
        <v>269</v>
      </c>
      <c r="F11" t="s">
        <v>272</v>
      </c>
    </row>
    <row r="12" spans="1:7" x14ac:dyDescent="0.3">
      <c r="A12" s="4"/>
    </row>
    <row r="13" spans="1:7" x14ac:dyDescent="0.3">
      <c r="A13" s="4" t="s">
        <v>163</v>
      </c>
      <c r="B13">
        <v>8</v>
      </c>
      <c r="C13">
        <v>7.5</v>
      </c>
      <c r="D13">
        <v>9</v>
      </c>
      <c r="E13">
        <v>8</v>
      </c>
      <c r="F13">
        <v>9</v>
      </c>
    </row>
    <row r="14" spans="1:7" x14ac:dyDescent="0.3">
      <c r="A14" s="4" t="s">
        <v>164</v>
      </c>
      <c r="B14">
        <v>15.5</v>
      </c>
      <c r="C14">
        <v>14.5</v>
      </c>
      <c r="D14">
        <v>13.5</v>
      </c>
      <c r="E14">
        <v>14.5</v>
      </c>
      <c r="F14">
        <v>15.5</v>
      </c>
    </row>
    <row r="15" spans="1:7" x14ac:dyDescent="0.3">
      <c r="A15" s="4" t="s">
        <v>165</v>
      </c>
      <c r="B15">
        <f>B14-B13</f>
        <v>7.5</v>
      </c>
      <c r="C15">
        <f t="shared" ref="C15:F15" si="0">C14-C13</f>
        <v>7</v>
      </c>
      <c r="D15">
        <f t="shared" si="0"/>
        <v>4.5</v>
      </c>
      <c r="E15">
        <f t="shared" si="0"/>
        <v>6.5</v>
      </c>
      <c r="F15">
        <f t="shared" si="0"/>
        <v>6.5</v>
      </c>
      <c r="G15" s="10">
        <f>SUM(B15:F15)</f>
        <v>32</v>
      </c>
    </row>
    <row r="16" spans="1:7" x14ac:dyDescent="0.3">
      <c r="A16" s="4"/>
    </row>
    <row r="17" spans="1:1" x14ac:dyDescent="0.3">
      <c r="A17" s="4"/>
    </row>
    <row r="18" spans="1:1" x14ac:dyDescent="0.3">
      <c r="A18" s="4"/>
    </row>
    <row r="19" spans="1:1" x14ac:dyDescent="0.3">
      <c r="A19" s="4"/>
    </row>
    <row r="20" spans="1:1" x14ac:dyDescent="0.3">
      <c r="A20" s="4"/>
    </row>
    <row r="21" spans="1:1" x14ac:dyDescent="0.3">
      <c r="A21" s="4"/>
    </row>
  </sheetData>
  <mergeCells count="1">
    <mergeCell ref="A1:F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3"/>
  <sheetViews>
    <sheetView workbookViewId="0">
      <pane xSplit="1" ySplit="1" topLeftCell="B12" activePane="bottomRight" state="frozen"/>
      <selection pane="topRight" activeCell="B1" sqref="B1"/>
      <selection pane="bottomLeft" activeCell="A2" sqref="A2"/>
      <selection pane="bottomRight" sqref="A1:A36"/>
    </sheetView>
  </sheetViews>
  <sheetFormatPr defaultRowHeight="14.4" x14ac:dyDescent="0.3"/>
  <cols>
    <col min="1" max="1" width="23.44140625" customWidth="1"/>
    <col min="2" max="2" width="11.109375" bestFit="1" customWidth="1"/>
    <col min="3" max="3" width="10.109375" bestFit="1" customWidth="1"/>
    <col min="6" max="6" width="11.44140625" bestFit="1" customWidth="1"/>
  </cols>
  <sheetData>
    <row r="1" spans="1:18" x14ac:dyDescent="0.3">
      <c r="A1" t="s">
        <v>0</v>
      </c>
      <c r="B1" t="s">
        <v>225</v>
      </c>
      <c r="C1" t="s">
        <v>226</v>
      </c>
      <c r="D1" t="s">
        <v>227</v>
      </c>
      <c r="E1" t="s">
        <v>228</v>
      </c>
      <c r="F1" t="s">
        <v>229</v>
      </c>
      <c r="G1" t="s">
        <v>230</v>
      </c>
      <c r="H1" t="s">
        <v>231</v>
      </c>
      <c r="I1" t="s">
        <v>232</v>
      </c>
      <c r="J1" t="s">
        <v>233</v>
      </c>
      <c r="K1" t="s">
        <v>234</v>
      </c>
      <c r="L1" t="s">
        <v>235</v>
      </c>
      <c r="M1" t="s">
        <v>236</v>
      </c>
      <c r="N1" t="s">
        <v>237</v>
      </c>
      <c r="O1" t="s">
        <v>238</v>
      </c>
      <c r="P1" t="s">
        <v>239</v>
      </c>
      <c r="Q1" t="s">
        <v>240</v>
      </c>
      <c r="R1" t="s">
        <v>241</v>
      </c>
    </row>
    <row r="2" spans="1:18" x14ac:dyDescent="0.3">
      <c r="A2" t="s">
        <v>9</v>
      </c>
      <c r="B2">
        <v>5</v>
      </c>
      <c r="C2">
        <v>4</v>
      </c>
      <c r="D2">
        <v>3</v>
      </c>
      <c r="E2">
        <v>3</v>
      </c>
      <c r="F2">
        <v>3</v>
      </c>
      <c r="H2">
        <v>3</v>
      </c>
      <c r="I2">
        <v>2</v>
      </c>
      <c r="J2">
        <v>3</v>
      </c>
      <c r="K2">
        <v>2</v>
      </c>
      <c r="L2">
        <v>2</v>
      </c>
      <c r="M2">
        <v>5</v>
      </c>
      <c r="N2">
        <v>5</v>
      </c>
      <c r="O2">
        <v>4</v>
      </c>
      <c r="P2" s="7">
        <f>IF(MIN(D2:O2)=1,1,AVERAGE(D2:O2))</f>
        <v>3.1818181818181817</v>
      </c>
    </row>
    <row r="3" spans="1:18" x14ac:dyDescent="0.3">
      <c r="A3" t="s">
        <v>10</v>
      </c>
      <c r="B3">
        <v>5</v>
      </c>
      <c r="C3">
        <v>5</v>
      </c>
      <c r="D3">
        <v>4</v>
      </c>
      <c r="E3">
        <v>4</v>
      </c>
      <c r="F3">
        <v>2</v>
      </c>
      <c r="H3">
        <v>4</v>
      </c>
      <c r="I3">
        <v>4</v>
      </c>
      <c r="J3">
        <v>4</v>
      </c>
      <c r="K3">
        <v>3</v>
      </c>
      <c r="L3">
        <v>3</v>
      </c>
      <c r="M3">
        <v>4</v>
      </c>
      <c r="N3">
        <v>5</v>
      </c>
      <c r="O3">
        <v>3</v>
      </c>
      <c r="P3" s="7">
        <f t="shared" ref="P3:P37" si="0">IF(MIN(D3:O3)=1,1,AVERAGE(D3:O3))</f>
        <v>3.6363636363636362</v>
      </c>
    </row>
    <row r="4" spans="1:18" x14ac:dyDescent="0.3">
      <c r="A4" t="s">
        <v>11</v>
      </c>
      <c r="B4">
        <v>3</v>
      </c>
      <c r="C4">
        <v>2</v>
      </c>
      <c r="D4">
        <v>2</v>
      </c>
      <c r="E4">
        <v>2</v>
      </c>
      <c r="F4">
        <v>3</v>
      </c>
      <c r="I4">
        <v>1</v>
      </c>
      <c r="J4">
        <v>1</v>
      </c>
      <c r="K4">
        <v>3</v>
      </c>
      <c r="L4">
        <v>2</v>
      </c>
      <c r="M4">
        <v>4</v>
      </c>
      <c r="N4">
        <v>4</v>
      </c>
      <c r="O4">
        <v>2</v>
      </c>
      <c r="P4" s="7">
        <f t="shared" si="0"/>
        <v>1</v>
      </c>
    </row>
    <row r="5" spans="1:18" x14ac:dyDescent="0.3">
      <c r="A5" t="s">
        <v>12</v>
      </c>
      <c r="B5">
        <v>3</v>
      </c>
      <c r="C5">
        <v>2</v>
      </c>
      <c r="D5">
        <v>3</v>
      </c>
      <c r="E5">
        <v>3</v>
      </c>
      <c r="F5">
        <v>3</v>
      </c>
      <c r="H5">
        <v>1</v>
      </c>
      <c r="I5">
        <v>1</v>
      </c>
      <c r="J5">
        <v>1</v>
      </c>
      <c r="K5">
        <v>3</v>
      </c>
      <c r="L5">
        <v>4</v>
      </c>
      <c r="M5">
        <v>2</v>
      </c>
      <c r="N5">
        <v>3</v>
      </c>
      <c r="O5">
        <v>3</v>
      </c>
      <c r="P5" s="7">
        <f t="shared" si="0"/>
        <v>1</v>
      </c>
    </row>
    <row r="6" spans="1:18" x14ac:dyDescent="0.3">
      <c r="A6" t="s">
        <v>13</v>
      </c>
      <c r="B6">
        <v>4</v>
      </c>
      <c r="C6">
        <v>4</v>
      </c>
      <c r="D6">
        <v>3</v>
      </c>
      <c r="E6">
        <v>3</v>
      </c>
      <c r="F6">
        <v>2</v>
      </c>
      <c r="H6">
        <v>3</v>
      </c>
      <c r="I6">
        <v>2</v>
      </c>
      <c r="J6">
        <v>3</v>
      </c>
      <c r="K6">
        <v>3</v>
      </c>
      <c r="L6">
        <v>2</v>
      </c>
      <c r="M6">
        <v>4</v>
      </c>
      <c r="N6">
        <v>3</v>
      </c>
      <c r="O6">
        <v>2</v>
      </c>
      <c r="P6" s="7">
        <f t="shared" si="0"/>
        <v>2.7272727272727271</v>
      </c>
    </row>
    <row r="7" spans="1:18" x14ac:dyDescent="0.3">
      <c r="A7" t="s">
        <v>14</v>
      </c>
      <c r="B7">
        <v>3</v>
      </c>
      <c r="C7">
        <v>2</v>
      </c>
      <c r="D7">
        <v>3</v>
      </c>
      <c r="E7">
        <v>3</v>
      </c>
      <c r="F7">
        <v>1</v>
      </c>
      <c r="H7">
        <v>2</v>
      </c>
      <c r="I7">
        <v>1</v>
      </c>
      <c r="J7">
        <v>1</v>
      </c>
      <c r="K7">
        <v>2</v>
      </c>
      <c r="L7">
        <v>3</v>
      </c>
      <c r="M7">
        <v>4</v>
      </c>
      <c r="N7">
        <v>4</v>
      </c>
      <c r="O7">
        <v>1</v>
      </c>
      <c r="P7" s="7">
        <f t="shared" si="0"/>
        <v>1</v>
      </c>
    </row>
    <row r="8" spans="1:18" x14ac:dyDescent="0.3">
      <c r="A8" t="s">
        <v>15</v>
      </c>
      <c r="B8">
        <v>5</v>
      </c>
      <c r="C8">
        <v>5</v>
      </c>
      <c r="D8">
        <v>3</v>
      </c>
      <c r="E8">
        <v>4</v>
      </c>
      <c r="F8">
        <v>3</v>
      </c>
      <c r="H8">
        <v>3</v>
      </c>
      <c r="I8">
        <v>4</v>
      </c>
      <c r="J8">
        <v>4</v>
      </c>
      <c r="K8">
        <v>3</v>
      </c>
      <c r="L8">
        <v>3</v>
      </c>
      <c r="M8">
        <v>5</v>
      </c>
      <c r="N8">
        <v>4</v>
      </c>
      <c r="O8">
        <v>3</v>
      </c>
      <c r="P8" s="7">
        <f t="shared" si="0"/>
        <v>3.5454545454545454</v>
      </c>
    </row>
    <row r="9" spans="1:18" x14ac:dyDescent="0.3">
      <c r="A9" t="s">
        <v>16</v>
      </c>
      <c r="B9">
        <v>3</v>
      </c>
      <c r="C9">
        <v>3</v>
      </c>
      <c r="D9">
        <v>3</v>
      </c>
      <c r="E9">
        <v>3</v>
      </c>
      <c r="F9">
        <v>2</v>
      </c>
      <c r="H9">
        <v>2</v>
      </c>
      <c r="I9">
        <v>2</v>
      </c>
      <c r="J9">
        <v>3</v>
      </c>
      <c r="K9">
        <v>3</v>
      </c>
      <c r="L9">
        <v>2</v>
      </c>
      <c r="M9">
        <v>4</v>
      </c>
      <c r="N9">
        <v>5</v>
      </c>
      <c r="O9">
        <v>2</v>
      </c>
      <c r="P9" s="7">
        <f t="shared" si="0"/>
        <v>2.8181818181818183</v>
      </c>
    </row>
    <row r="10" spans="1:18" x14ac:dyDescent="0.3">
      <c r="A10" t="s">
        <v>17</v>
      </c>
      <c r="B10">
        <v>3</v>
      </c>
      <c r="C10">
        <v>3</v>
      </c>
      <c r="D10">
        <v>4</v>
      </c>
      <c r="E10">
        <v>3</v>
      </c>
      <c r="F10">
        <v>3</v>
      </c>
      <c r="H10">
        <v>3</v>
      </c>
      <c r="I10">
        <v>2</v>
      </c>
      <c r="J10">
        <v>2</v>
      </c>
      <c r="K10">
        <v>2</v>
      </c>
      <c r="L10">
        <v>2</v>
      </c>
      <c r="M10">
        <v>3</v>
      </c>
      <c r="N10">
        <v>4</v>
      </c>
      <c r="O10">
        <v>3</v>
      </c>
      <c r="P10" s="7">
        <f t="shared" si="0"/>
        <v>2.8181818181818183</v>
      </c>
    </row>
    <row r="11" spans="1:18" x14ac:dyDescent="0.3">
      <c r="A11" t="s">
        <v>18</v>
      </c>
      <c r="B11">
        <v>4</v>
      </c>
      <c r="C11">
        <v>4</v>
      </c>
      <c r="D11">
        <v>3</v>
      </c>
      <c r="E11">
        <v>4</v>
      </c>
      <c r="F11">
        <v>3</v>
      </c>
      <c r="H11">
        <v>4</v>
      </c>
      <c r="I11">
        <v>2</v>
      </c>
      <c r="J11">
        <v>3</v>
      </c>
      <c r="K11">
        <v>2</v>
      </c>
      <c r="L11">
        <v>3</v>
      </c>
      <c r="M11">
        <v>5</v>
      </c>
      <c r="N11">
        <v>5</v>
      </c>
      <c r="O11">
        <v>4</v>
      </c>
      <c r="P11" s="7">
        <f t="shared" si="0"/>
        <v>3.4545454545454546</v>
      </c>
    </row>
    <row r="12" spans="1:18" x14ac:dyDescent="0.3">
      <c r="A12" t="s">
        <v>19</v>
      </c>
      <c r="B12">
        <v>3</v>
      </c>
      <c r="C12">
        <v>2</v>
      </c>
      <c r="D12">
        <v>3</v>
      </c>
      <c r="E12">
        <v>3</v>
      </c>
      <c r="F12">
        <v>2</v>
      </c>
      <c r="G12">
        <v>1</v>
      </c>
      <c r="I12">
        <v>2</v>
      </c>
      <c r="J12">
        <v>2</v>
      </c>
      <c r="K12">
        <v>2</v>
      </c>
      <c r="L12">
        <v>2</v>
      </c>
      <c r="M12">
        <v>4</v>
      </c>
      <c r="N12">
        <v>3</v>
      </c>
      <c r="O12">
        <v>2</v>
      </c>
      <c r="P12" s="7">
        <f t="shared" si="0"/>
        <v>1</v>
      </c>
    </row>
    <row r="13" spans="1:18" x14ac:dyDescent="0.3">
      <c r="A13" t="s">
        <v>21</v>
      </c>
      <c r="B13">
        <v>4</v>
      </c>
      <c r="C13">
        <v>4</v>
      </c>
      <c r="D13">
        <v>3</v>
      </c>
      <c r="E13">
        <v>4</v>
      </c>
      <c r="F13">
        <v>3</v>
      </c>
      <c r="G13">
        <v>2</v>
      </c>
      <c r="I13">
        <v>2</v>
      </c>
      <c r="J13">
        <v>2</v>
      </c>
      <c r="K13">
        <v>2</v>
      </c>
      <c r="L13">
        <v>2</v>
      </c>
      <c r="M13">
        <v>4</v>
      </c>
      <c r="N13">
        <v>5</v>
      </c>
      <c r="O13">
        <v>3</v>
      </c>
      <c r="P13" s="7">
        <f t="shared" si="0"/>
        <v>2.9090909090909092</v>
      </c>
    </row>
    <row r="14" spans="1:18" x14ac:dyDescent="0.3">
      <c r="A14" t="s">
        <v>22</v>
      </c>
      <c r="B14">
        <v>3</v>
      </c>
      <c r="C14">
        <v>2</v>
      </c>
      <c r="D14">
        <v>3</v>
      </c>
      <c r="E14">
        <v>3</v>
      </c>
      <c r="F14">
        <v>1</v>
      </c>
      <c r="G14">
        <v>1</v>
      </c>
      <c r="I14">
        <v>1</v>
      </c>
      <c r="J14">
        <v>2</v>
      </c>
      <c r="K14">
        <v>2</v>
      </c>
      <c r="L14">
        <v>2</v>
      </c>
      <c r="M14">
        <v>4</v>
      </c>
      <c r="N14">
        <v>3</v>
      </c>
      <c r="O14">
        <v>2</v>
      </c>
      <c r="P14" s="7">
        <f t="shared" si="0"/>
        <v>1</v>
      </c>
    </row>
    <row r="15" spans="1:18" x14ac:dyDescent="0.3">
      <c r="A15" t="s">
        <v>23</v>
      </c>
      <c r="B15">
        <v>3</v>
      </c>
      <c r="C15">
        <v>3</v>
      </c>
      <c r="D15">
        <v>3</v>
      </c>
      <c r="E15">
        <v>3</v>
      </c>
      <c r="F15">
        <v>2</v>
      </c>
      <c r="H15">
        <v>2</v>
      </c>
      <c r="I15">
        <v>2</v>
      </c>
      <c r="J15">
        <v>2</v>
      </c>
      <c r="K15">
        <v>2</v>
      </c>
      <c r="L15">
        <v>2</v>
      </c>
      <c r="M15">
        <v>3</v>
      </c>
      <c r="N15">
        <v>5</v>
      </c>
      <c r="O15">
        <v>3</v>
      </c>
      <c r="P15" s="7">
        <f t="shared" si="0"/>
        <v>2.6363636363636362</v>
      </c>
    </row>
    <row r="16" spans="1:18" x14ac:dyDescent="0.3">
      <c r="A16" t="s">
        <v>24</v>
      </c>
      <c r="B16">
        <v>3</v>
      </c>
      <c r="C16">
        <v>2</v>
      </c>
      <c r="D16">
        <v>3</v>
      </c>
      <c r="E16">
        <v>3</v>
      </c>
      <c r="F16">
        <v>2</v>
      </c>
      <c r="G16">
        <v>1</v>
      </c>
      <c r="I16">
        <v>2</v>
      </c>
      <c r="J16">
        <v>2</v>
      </c>
      <c r="K16">
        <v>1</v>
      </c>
      <c r="L16">
        <v>2</v>
      </c>
      <c r="M16">
        <v>4</v>
      </c>
      <c r="N16">
        <v>3</v>
      </c>
      <c r="O16">
        <v>2</v>
      </c>
      <c r="P16" s="7">
        <f t="shared" si="0"/>
        <v>1</v>
      </c>
    </row>
    <row r="17" spans="1:16" x14ac:dyDescent="0.3">
      <c r="A17" t="s">
        <v>26</v>
      </c>
      <c r="B17">
        <v>5</v>
      </c>
      <c r="C17">
        <v>5</v>
      </c>
      <c r="D17">
        <v>4</v>
      </c>
      <c r="E17">
        <v>5</v>
      </c>
      <c r="F17">
        <v>3</v>
      </c>
      <c r="G17">
        <v>3</v>
      </c>
      <c r="I17">
        <v>3</v>
      </c>
      <c r="J17">
        <v>2</v>
      </c>
      <c r="K17">
        <v>3</v>
      </c>
      <c r="L17">
        <v>4</v>
      </c>
      <c r="M17">
        <v>4</v>
      </c>
      <c r="N17">
        <v>3</v>
      </c>
      <c r="O17">
        <v>4</v>
      </c>
      <c r="P17" s="7">
        <f t="shared" si="0"/>
        <v>3.4545454545454546</v>
      </c>
    </row>
    <row r="18" spans="1:16" x14ac:dyDescent="0.3">
      <c r="A18" t="s">
        <v>27</v>
      </c>
      <c r="B18">
        <v>5</v>
      </c>
      <c r="C18">
        <v>4</v>
      </c>
      <c r="D18">
        <v>4</v>
      </c>
      <c r="E18">
        <v>4</v>
      </c>
      <c r="F18">
        <v>3</v>
      </c>
      <c r="G18">
        <v>3</v>
      </c>
      <c r="I18">
        <v>3</v>
      </c>
      <c r="J18">
        <v>2</v>
      </c>
      <c r="K18">
        <v>3</v>
      </c>
      <c r="L18">
        <v>3</v>
      </c>
      <c r="M18">
        <v>5</v>
      </c>
      <c r="N18">
        <v>3</v>
      </c>
      <c r="O18">
        <v>4</v>
      </c>
      <c r="P18" s="7">
        <f t="shared" si="0"/>
        <v>3.3636363636363638</v>
      </c>
    </row>
    <row r="19" spans="1:16" x14ac:dyDescent="0.3">
      <c r="A19" t="s">
        <v>28</v>
      </c>
      <c r="B19">
        <v>4</v>
      </c>
      <c r="C19">
        <v>3</v>
      </c>
      <c r="D19">
        <v>4</v>
      </c>
      <c r="E19">
        <v>4</v>
      </c>
      <c r="F19">
        <v>2</v>
      </c>
      <c r="H19">
        <v>4</v>
      </c>
      <c r="I19">
        <v>2</v>
      </c>
      <c r="J19">
        <v>3</v>
      </c>
      <c r="K19">
        <v>2</v>
      </c>
      <c r="L19">
        <v>3</v>
      </c>
      <c r="M19">
        <v>4</v>
      </c>
      <c r="N19">
        <v>4</v>
      </c>
      <c r="O19">
        <v>3</v>
      </c>
      <c r="P19" s="7">
        <f t="shared" si="0"/>
        <v>3.1818181818181817</v>
      </c>
    </row>
    <row r="20" spans="1:16" x14ac:dyDescent="0.3">
      <c r="A20" t="s">
        <v>29</v>
      </c>
      <c r="B20">
        <v>3</v>
      </c>
      <c r="C20">
        <v>2</v>
      </c>
      <c r="D20">
        <v>3</v>
      </c>
      <c r="E20">
        <v>3</v>
      </c>
      <c r="F20">
        <v>2</v>
      </c>
      <c r="G20">
        <v>2</v>
      </c>
      <c r="I20">
        <v>2</v>
      </c>
      <c r="J20">
        <v>2</v>
      </c>
      <c r="K20">
        <v>3</v>
      </c>
      <c r="L20">
        <v>2</v>
      </c>
      <c r="M20">
        <v>4</v>
      </c>
      <c r="N20">
        <v>4</v>
      </c>
      <c r="O20">
        <v>3</v>
      </c>
      <c r="P20" s="7">
        <f t="shared" si="0"/>
        <v>2.7272727272727271</v>
      </c>
    </row>
    <row r="21" spans="1:16" x14ac:dyDescent="0.3">
      <c r="A21" t="s">
        <v>30</v>
      </c>
      <c r="B21">
        <v>4</v>
      </c>
      <c r="C21">
        <v>4</v>
      </c>
      <c r="D21">
        <v>3</v>
      </c>
      <c r="E21">
        <v>3</v>
      </c>
      <c r="F21">
        <v>2</v>
      </c>
      <c r="G21">
        <v>3</v>
      </c>
      <c r="I21">
        <v>2</v>
      </c>
      <c r="J21">
        <v>3</v>
      </c>
      <c r="K21">
        <v>2</v>
      </c>
      <c r="L21">
        <v>2</v>
      </c>
      <c r="M21">
        <v>5</v>
      </c>
      <c r="N21">
        <v>3</v>
      </c>
      <c r="O21">
        <v>3</v>
      </c>
      <c r="P21" s="7">
        <f t="shared" si="0"/>
        <v>2.8181818181818183</v>
      </c>
    </row>
    <row r="22" spans="1:16" x14ac:dyDescent="0.3">
      <c r="A22" t="s">
        <v>31</v>
      </c>
      <c r="B22">
        <v>3</v>
      </c>
      <c r="C22">
        <v>2</v>
      </c>
      <c r="D22">
        <v>2</v>
      </c>
      <c r="E22">
        <v>2</v>
      </c>
      <c r="F22">
        <v>2</v>
      </c>
      <c r="H22">
        <v>2</v>
      </c>
      <c r="I22">
        <v>2</v>
      </c>
      <c r="J22">
        <v>2</v>
      </c>
      <c r="K22">
        <v>2</v>
      </c>
      <c r="L22">
        <v>2</v>
      </c>
      <c r="M22">
        <v>3</v>
      </c>
      <c r="N22">
        <v>4</v>
      </c>
      <c r="O22">
        <v>2</v>
      </c>
      <c r="P22" s="7">
        <f t="shared" si="0"/>
        <v>2.2727272727272729</v>
      </c>
    </row>
    <row r="23" spans="1:16" x14ac:dyDescent="0.3">
      <c r="A23" t="s">
        <v>32</v>
      </c>
      <c r="B23">
        <v>5</v>
      </c>
      <c r="C23">
        <v>4</v>
      </c>
      <c r="D23">
        <v>2</v>
      </c>
      <c r="E23">
        <v>3</v>
      </c>
      <c r="F23">
        <v>2</v>
      </c>
      <c r="G23">
        <v>3</v>
      </c>
      <c r="I23">
        <v>4</v>
      </c>
      <c r="J23">
        <v>3</v>
      </c>
      <c r="K23">
        <v>2</v>
      </c>
      <c r="L23">
        <v>3</v>
      </c>
      <c r="M23">
        <v>5</v>
      </c>
      <c r="N23">
        <v>3</v>
      </c>
      <c r="O23">
        <v>3</v>
      </c>
      <c r="P23" s="7">
        <f t="shared" si="0"/>
        <v>3</v>
      </c>
    </row>
    <row r="24" spans="1:16" x14ac:dyDescent="0.3">
      <c r="A24" t="s">
        <v>33</v>
      </c>
      <c r="B24">
        <v>3</v>
      </c>
      <c r="C24">
        <v>2</v>
      </c>
      <c r="D24">
        <v>2</v>
      </c>
      <c r="E24">
        <v>2</v>
      </c>
      <c r="F24">
        <v>3</v>
      </c>
      <c r="H24">
        <v>3</v>
      </c>
      <c r="I24">
        <v>1</v>
      </c>
      <c r="J24">
        <v>1</v>
      </c>
      <c r="K24">
        <v>1</v>
      </c>
      <c r="L24">
        <v>2</v>
      </c>
      <c r="M24">
        <v>2</v>
      </c>
      <c r="N24">
        <v>4</v>
      </c>
      <c r="O24">
        <v>3</v>
      </c>
      <c r="P24" s="7">
        <f t="shared" si="0"/>
        <v>1</v>
      </c>
    </row>
    <row r="25" spans="1:16" x14ac:dyDescent="0.3">
      <c r="A25" t="s">
        <v>202</v>
      </c>
      <c r="B25">
        <v>3</v>
      </c>
      <c r="C25">
        <v>2</v>
      </c>
      <c r="D25">
        <v>2</v>
      </c>
      <c r="E25">
        <v>2</v>
      </c>
      <c r="F25">
        <v>3</v>
      </c>
      <c r="H25">
        <v>3</v>
      </c>
      <c r="I25">
        <v>1</v>
      </c>
      <c r="J25">
        <v>2</v>
      </c>
      <c r="K25">
        <v>1</v>
      </c>
      <c r="L25">
        <v>2</v>
      </c>
      <c r="M25">
        <v>2</v>
      </c>
      <c r="N25">
        <v>3</v>
      </c>
      <c r="O25">
        <v>3</v>
      </c>
      <c r="P25" s="7">
        <f t="shared" si="0"/>
        <v>1</v>
      </c>
    </row>
    <row r="26" spans="1:16" x14ac:dyDescent="0.3">
      <c r="A26" t="s">
        <v>34</v>
      </c>
      <c r="B26">
        <v>5</v>
      </c>
      <c r="C26">
        <v>5</v>
      </c>
      <c r="D26">
        <v>4</v>
      </c>
      <c r="E26">
        <v>5</v>
      </c>
      <c r="F26">
        <v>3</v>
      </c>
      <c r="G26">
        <v>3</v>
      </c>
      <c r="I26">
        <v>3</v>
      </c>
      <c r="J26">
        <v>3</v>
      </c>
      <c r="K26">
        <v>3</v>
      </c>
      <c r="L26">
        <v>3</v>
      </c>
      <c r="M26">
        <v>4</v>
      </c>
      <c r="N26">
        <v>3</v>
      </c>
      <c r="O26">
        <v>4</v>
      </c>
      <c r="P26" s="7">
        <f t="shared" si="0"/>
        <v>3.4545454545454546</v>
      </c>
    </row>
    <row r="27" spans="1:16" x14ac:dyDescent="0.3">
      <c r="A27" t="s">
        <v>35</v>
      </c>
      <c r="B27">
        <v>3</v>
      </c>
      <c r="C27">
        <v>2</v>
      </c>
      <c r="D27">
        <v>2</v>
      </c>
      <c r="E27">
        <v>2</v>
      </c>
      <c r="F27">
        <v>2</v>
      </c>
      <c r="H27">
        <v>1</v>
      </c>
      <c r="I27">
        <v>1</v>
      </c>
      <c r="J27">
        <v>1</v>
      </c>
      <c r="K27">
        <v>2</v>
      </c>
      <c r="L27">
        <v>2</v>
      </c>
      <c r="M27">
        <v>3</v>
      </c>
      <c r="N27">
        <v>3</v>
      </c>
      <c r="O27">
        <v>3</v>
      </c>
      <c r="P27" s="7">
        <f t="shared" si="0"/>
        <v>1</v>
      </c>
    </row>
    <row r="28" spans="1:16" x14ac:dyDescent="0.3">
      <c r="A28" t="s">
        <v>36</v>
      </c>
      <c r="B28">
        <v>3</v>
      </c>
      <c r="C28">
        <v>2</v>
      </c>
      <c r="D28">
        <v>2</v>
      </c>
      <c r="E28">
        <v>3</v>
      </c>
      <c r="F28">
        <v>1</v>
      </c>
      <c r="H28">
        <v>2</v>
      </c>
      <c r="I28">
        <v>1</v>
      </c>
      <c r="J28">
        <v>2</v>
      </c>
      <c r="K28">
        <v>1</v>
      </c>
      <c r="L28">
        <v>1</v>
      </c>
      <c r="M28">
        <v>3</v>
      </c>
      <c r="N28">
        <v>5</v>
      </c>
      <c r="O28">
        <v>2</v>
      </c>
      <c r="P28" s="7">
        <f t="shared" si="0"/>
        <v>1</v>
      </c>
    </row>
    <row r="29" spans="1:16" x14ac:dyDescent="0.3">
      <c r="A29" t="s">
        <v>37</v>
      </c>
      <c r="B29">
        <v>3</v>
      </c>
      <c r="C29">
        <v>4</v>
      </c>
      <c r="D29">
        <v>3</v>
      </c>
      <c r="E29">
        <v>3</v>
      </c>
      <c r="F29">
        <v>2</v>
      </c>
      <c r="I29">
        <v>2</v>
      </c>
      <c r="J29">
        <v>3</v>
      </c>
      <c r="K29">
        <v>3</v>
      </c>
      <c r="L29">
        <v>2</v>
      </c>
      <c r="M29">
        <v>5</v>
      </c>
      <c r="N29">
        <v>5</v>
      </c>
      <c r="O29">
        <v>2</v>
      </c>
      <c r="P29" s="7">
        <f t="shared" si="0"/>
        <v>3</v>
      </c>
    </row>
    <row r="30" spans="1:16" x14ac:dyDescent="0.3">
      <c r="A30" t="s">
        <v>38</v>
      </c>
      <c r="B30">
        <v>3</v>
      </c>
      <c r="C30">
        <v>3</v>
      </c>
      <c r="D30">
        <v>3</v>
      </c>
      <c r="E30">
        <v>3</v>
      </c>
      <c r="F30">
        <v>2</v>
      </c>
      <c r="H30">
        <v>2</v>
      </c>
      <c r="I30">
        <v>2</v>
      </c>
      <c r="J30">
        <v>2</v>
      </c>
      <c r="K30">
        <v>2</v>
      </c>
      <c r="L30">
        <v>2</v>
      </c>
      <c r="M30">
        <v>4</v>
      </c>
      <c r="N30">
        <v>5</v>
      </c>
      <c r="O30">
        <v>3</v>
      </c>
      <c r="P30" s="7">
        <f t="shared" si="0"/>
        <v>2.7272727272727271</v>
      </c>
    </row>
    <row r="31" spans="1:16" x14ac:dyDescent="0.3">
      <c r="A31" t="s">
        <v>39</v>
      </c>
      <c r="B31">
        <v>3</v>
      </c>
      <c r="C31">
        <v>3</v>
      </c>
      <c r="D31">
        <v>3</v>
      </c>
      <c r="E31">
        <v>3</v>
      </c>
      <c r="F31">
        <v>2</v>
      </c>
      <c r="H31">
        <v>3</v>
      </c>
      <c r="I31">
        <v>2</v>
      </c>
      <c r="J31">
        <v>3</v>
      </c>
      <c r="K31">
        <v>2</v>
      </c>
      <c r="L31">
        <v>2</v>
      </c>
      <c r="M31">
        <v>3</v>
      </c>
      <c r="N31">
        <v>3</v>
      </c>
      <c r="O31">
        <v>2</v>
      </c>
      <c r="P31" s="7">
        <f t="shared" si="0"/>
        <v>2.5454545454545454</v>
      </c>
    </row>
    <row r="32" spans="1:16" x14ac:dyDescent="0.3">
      <c r="A32" t="s">
        <v>40</v>
      </c>
      <c r="B32">
        <v>3</v>
      </c>
      <c r="C32">
        <v>2</v>
      </c>
      <c r="D32">
        <v>2</v>
      </c>
      <c r="E32">
        <v>2</v>
      </c>
      <c r="F32">
        <v>3</v>
      </c>
      <c r="I32">
        <v>1</v>
      </c>
      <c r="J32">
        <v>1</v>
      </c>
      <c r="K32">
        <v>3</v>
      </c>
      <c r="L32">
        <v>3</v>
      </c>
      <c r="M32">
        <v>2</v>
      </c>
      <c r="N32">
        <v>3</v>
      </c>
      <c r="O32">
        <v>3</v>
      </c>
      <c r="P32" s="7">
        <f t="shared" si="0"/>
        <v>1</v>
      </c>
    </row>
    <row r="33" spans="1:20" x14ac:dyDescent="0.3">
      <c r="A33" t="s">
        <v>162</v>
      </c>
      <c r="B33">
        <v>3</v>
      </c>
      <c r="C33">
        <v>2</v>
      </c>
      <c r="D33">
        <v>3</v>
      </c>
      <c r="E33">
        <v>3</v>
      </c>
      <c r="F33">
        <v>2</v>
      </c>
      <c r="I33">
        <v>1</v>
      </c>
      <c r="J33">
        <v>2</v>
      </c>
      <c r="K33">
        <v>2</v>
      </c>
      <c r="L33">
        <v>1</v>
      </c>
      <c r="M33">
        <v>3</v>
      </c>
      <c r="N33">
        <v>3</v>
      </c>
      <c r="O33">
        <v>3</v>
      </c>
      <c r="P33" s="7">
        <f t="shared" si="0"/>
        <v>1</v>
      </c>
    </row>
    <row r="34" spans="1:20" x14ac:dyDescent="0.3">
      <c r="A34" t="s">
        <v>41</v>
      </c>
      <c r="B34">
        <v>3</v>
      </c>
      <c r="C34">
        <v>2</v>
      </c>
      <c r="D34">
        <v>2</v>
      </c>
      <c r="E34">
        <v>2</v>
      </c>
      <c r="F34">
        <v>2</v>
      </c>
      <c r="G34">
        <v>1</v>
      </c>
      <c r="I34">
        <v>1</v>
      </c>
      <c r="J34">
        <v>2</v>
      </c>
      <c r="K34">
        <v>2</v>
      </c>
      <c r="L34">
        <v>2</v>
      </c>
      <c r="M34">
        <v>4</v>
      </c>
      <c r="N34">
        <v>5</v>
      </c>
      <c r="O34">
        <v>2</v>
      </c>
      <c r="P34" s="7">
        <f t="shared" si="0"/>
        <v>1</v>
      </c>
    </row>
    <row r="35" spans="1:20" x14ac:dyDescent="0.3">
      <c r="A35" t="s">
        <v>42</v>
      </c>
      <c r="B35">
        <v>3</v>
      </c>
      <c r="C35">
        <v>3</v>
      </c>
      <c r="D35">
        <v>2</v>
      </c>
      <c r="E35">
        <v>3</v>
      </c>
      <c r="F35">
        <v>2</v>
      </c>
      <c r="H35">
        <v>3</v>
      </c>
      <c r="I35">
        <v>2</v>
      </c>
      <c r="J35">
        <v>2</v>
      </c>
      <c r="K35">
        <v>2</v>
      </c>
      <c r="L35">
        <v>1</v>
      </c>
      <c r="M35">
        <v>3</v>
      </c>
      <c r="N35">
        <v>5</v>
      </c>
      <c r="O35">
        <v>3</v>
      </c>
      <c r="P35" s="7">
        <f t="shared" si="0"/>
        <v>1</v>
      </c>
    </row>
    <row r="36" spans="1:20" x14ac:dyDescent="0.3">
      <c r="A36" t="s">
        <v>224</v>
      </c>
      <c r="B36">
        <v>3</v>
      </c>
      <c r="C36">
        <v>2</v>
      </c>
      <c r="D36">
        <v>2</v>
      </c>
      <c r="E36">
        <v>2</v>
      </c>
      <c r="F36">
        <v>1</v>
      </c>
      <c r="H36">
        <v>1</v>
      </c>
      <c r="I36">
        <v>1</v>
      </c>
      <c r="J36">
        <v>2</v>
      </c>
      <c r="K36">
        <v>1</v>
      </c>
      <c r="L36">
        <v>1</v>
      </c>
      <c r="M36">
        <v>2</v>
      </c>
      <c r="N36">
        <v>3</v>
      </c>
      <c r="O36">
        <v>1</v>
      </c>
      <c r="P36" s="7">
        <f t="shared" si="0"/>
        <v>1</v>
      </c>
    </row>
    <row r="37" spans="1:20" x14ac:dyDescent="0.3">
      <c r="B37" s="7">
        <f>AVERAGE(B2:B36)</f>
        <v>3.5428571428571427</v>
      </c>
      <c r="C37" s="7">
        <f>AVERAGE(C2:C36)</f>
        <v>3</v>
      </c>
      <c r="D37" s="7">
        <f>AVERAGE(D2:D36)</f>
        <v>2.8571428571428572</v>
      </c>
      <c r="E37" s="7">
        <f>AVERAGE(E2:E36)</f>
        <v>3.0571428571428569</v>
      </c>
      <c r="F37" s="7">
        <f>AVERAGE(F2:F36)</f>
        <v>2.2571428571428571</v>
      </c>
      <c r="G37" s="7">
        <f>AVERAGE(G2:G35)</f>
        <v>2.0909090909090908</v>
      </c>
      <c r="H37" s="7">
        <f t="shared" ref="H37:O37" si="1">AVERAGE(H2:H36)</f>
        <v>2.5499999999999998</v>
      </c>
      <c r="I37" s="7">
        <f t="shared" si="1"/>
        <v>1.9142857142857144</v>
      </c>
      <c r="J37" s="7">
        <f t="shared" si="1"/>
        <v>2.2285714285714286</v>
      </c>
      <c r="K37" s="7">
        <f t="shared" si="1"/>
        <v>2.2000000000000002</v>
      </c>
      <c r="L37" s="7">
        <f t="shared" si="1"/>
        <v>2.2571428571428571</v>
      </c>
      <c r="M37" s="7">
        <f t="shared" si="1"/>
        <v>3.6857142857142855</v>
      </c>
      <c r="N37" s="7">
        <f t="shared" si="1"/>
        <v>3.8571428571428572</v>
      </c>
      <c r="O37" s="7">
        <f t="shared" si="1"/>
        <v>2.7142857142857144</v>
      </c>
      <c r="P37" s="7">
        <f t="shared" si="0"/>
        <v>2.6391233766233766</v>
      </c>
      <c r="Q37" s="7"/>
      <c r="R37" s="7"/>
      <c r="S37" s="7">
        <f>Q37+R37</f>
        <v>0</v>
      </c>
      <c r="T37">
        <f>S37/37</f>
        <v>0</v>
      </c>
    </row>
    <row r="38" spans="1:20" x14ac:dyDescent="0.3">
      <c r="A38" t="s">
        <v>0</v>
      </c>
      <c r="B38" t="s">
        <v>225</v>
      </c>
      <c r="C38" t="s">
        <v>226</v>
      </c>
      <c r="D38" t="s">
        <v>227</v>
      </c>
      <c r="E38" t="s">
        <v>228</v>
      </c>
      <c r="F38" t="s">
        <v>229</v>
      </c>
      <c r="G38" t="s">
        <v>230</v>
      </c>
      <c r="H38" t="s">
        <v>231</v>
      </c>
      <c r="I38" t="s">
        <v>232</v>
      </c>
      <c r="J38" t="s">
        <v>233</v>
      </c>
      <c r="K38" t="s">
        <v>234</v>
      </c>
      <c r="L38" t="s">
        <v>235</v>
      </c>
      <c r="M38" t="s">
        <v>236</v>
      </c>
      <c r="N38" t="s">
        <v>237</v>
      </c>
      <c r="O38" t="s">
        <v>238</v>
      </c>
      <c r="P38" t="s">
        <v>239</v>
      </c>
      <c r="Q38">
        <f ca="1">SUM(Q2:Q87)</f>
        <v>0</v>
      </c>
    </row>
    <row r="39" spans="1:20" x14ac:dyDescent="0.3">
      <c r="A39">
        <v>1</v>
      </c>
    </row>
    <row r="40" spans="1:20" x14ac:dyDescent="0.3">
      <c r="A40">
        <v>2</v>
      </c>
    </row>
    <row r="41" spans="1:20" x14ac:dyDescent="0.3">
      <c r="A41">
        <v>3</v>
      </c>
    </row>
    <row r="42" spans="1:20" x14ac:dyDescent="0.3">
      <c r="A42">
        <v>4</v>
      </c>
    </row>
    <row r="43" spans="1:20" x14ac:dyDescent="0.3">
      <c r="A43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9"/>
  <sheetViews>
    <sheetView topLeftCell="C1" workbookViewId="0">
      <selection activeCell="L8" sqref="A1:Q22"/>
    </sheetView>
  </sheetViews>
  <sheetFormatPr defaultRowHeight="14.4" x14ac:dyDescent="0.3"/>
  <cols>
    <col min="2" max="2" width="21.88671875" bestFit="1" customWidth="1"/>
    <col min="3" max="3" width="10.6640625" bestFit="1" customWidth="1"/>
  </cols>
  <sheetData>
    <row r="1" spans="1:17" x14ac:dyDescent="0.3">
      <c r="A1" s="2"/>
      <c r="B1" s="2" t="s">
        <v>0</v>
      </c>
      <c r="C1" t="s">
        <v>281</v>
      </c>
      <c r="D1" t="s">
        <v>226</v>
      </c>
      <c r="E1" t="s">
        <v>282</v>
      </c>
      <c r="F1" t="s">
        <v>228</v>
      </c>
      <c r="G1" t="s">
        <v>231</v>
      </c>
      <c r="H1" t="s">
        <v>230</v>
      </c>
      <c r="I1" t="s">
        <v>283</v>
      </c>
      <c r="J1" t="s">
        <v>229</v>
      </c>
      <c r="K1" t="s">
        <v>234</v>
      </c>
      <c r="L1" t="s">
        <v>235</v>
      </c>
      <c r="M1" t="s">
        <v>284</v>
      </c>
      <c r="N1" t="s">
        <v>285</v>
      </c>
      <c r="O1" t="s">
        <v>239</v>
      </c>
      <c r="P1" t="s">
        <v>286</v>
      </c>
      <c r="Q1" t="s">
        <v>287</v>
      </c>
    </row>
    <row r="2" spans="1:17" x14ac:dyDescent="0.3">
      <c r="A2">
        <v>1</v>
      </c>
      <c r="B2" t="s">
        <v>9</v>
      </c>
      <c r="C2">
        <v>4</v>
      </c>
      <c r="D2">
        <v>4</v>
      </c>
      <c r="E2">
        <v>2</v>
      </c>
      <c r="F2">
        <v>2</v>
      </c>
      <c r="G2">
        <v>2</v>
      </c>
      <c r="I2">
        <v>2</v>
      </c>
      <c r="J2">
        <v>3</v>
      </c>
      <c r="K2">
        <v>2</v>
      </c>
      <c r="L2">
        <v>3</v>
      </c>
      <c r="M2">
        <v>5</v>
      </c>
      <c r="N2">
        <v>4</v>
      </c>
      <c r="O2" s="7">
        <f>AVERAGE(E2:N2)</f>
        <v>2.7777777777777777</v>
      </c>
      <c r="P2">
        <v>66</v>
      </c>
      <c r="Q2">
        <v>2</v>
      </c>
    </row>
    <row r="3" spans="1:17" x14ac:dyDescent="0.3">
      <c r="A3">
        <v>2</v>
      </c>
      <c r="B3" t="s">
        <v>10</v>
      </c>
      <c r="C3">
        <v>4</v>
      </c>
      <c r="D3">
        <v>3</v>
      </c>
      <c r="E3">
        <v>4</v>
      </c>
      <c r="F3">
        <v>4</v>
      </c>
      <c r="G3">
        <v>4</v>
      </c>
      <c r="I3">
        <v>4</v>
      </c>
      <c r="J3">
        <v>1</v>
      </c>
      <c r="K3">
        <v>3</v>
      </c>
      <c r="L3">
        <v>5</v>
      </c>
      <c r="M3">
        <v>5</v>
      </c>
      <c r="N3">
        <v>3</v>
      </c>
      <c r="O3" s="7">
        <f t="shared" ref="O3:O21" si="0">AVERAGE(E3:N3)</f>
        <v>3.6666666666666665</v>
      </c>
      <c r="P3">
        <v>0</v>
      </c>
      <c r="Q3">
        <v>0</v>
      </c>
    </row>
    <row r="4" spans="1:17" x14ac:dyDescent="0.3">
      <c r="A4">
        <v>3</v>
      </c>
      <c r="B4" t="s">
        <v>13</v>
      </c>
      <c r="C4">
        <v>4</v>
      </c>
      <c r="D4">
        <v>4</v>
      </c>
      <c r="E4">
        <v>3</v>
      </c>
      <c r="F4">
        <v>4</v>
      </c>
      <c r="G4">
        <v>4</v>
      </c>
      <c r="I4">
        <v>2</v>
      </c>
      <c r="J4">
        <v>2</v>
      </c>
      <c r="K4">
        <v>3</v>
      </c>
      <c r="L4">
        <v>4</v>
      </c>
      <c r="M4">
        <v>3</v>
      </c>
      <c r="N4">
        <v>3</v>
      </c>
      <c r="O4" s="7">
        <f t="shared" si="0"/>
        <v>3.1111111111111112</v>
      </c>
      <c r="P4">
        <v>30</v>
      </c>
      <c r="Q4">
        <v>0</v>
      </c>
    </row>
    <row r="5" spans="1:17" x14ac:dyDescent="0.3">
      <c r="A5">
        <v>4</v>
      </c>
      <c r="B5" t="s">
        <v>15</v>
      </c>
      <c r="C5">
        <v>4</v>
      </c>
      <c r="D5">
        <v>5</v>
      </c>
      <c r="E5">
        <v>3</v>
      </c>
      <c r="F5">
        <v>4</v>
      </c>
      <c r="G5">
        <v>3</v>
      </c>
      <c r="I5">
        <v>3</v>
      </c>
      <c r="J5">
        <v>4</v>
      </c>
      <c r="K5">
        <v>4</v>
      </c>
      <c r="L5">
        <v>5</v>
      </c>
      <c r="M5">
        <v>3</v>
      </c>
      <c r="N5">
        <v>3</v>
      </c>
      <c r="O5" s="7">
        <f t="shared" si="0"/>
        <v>3.5555555555555554</v>
      </c>
      <c r="P5">
        <v>0</v>
      </c>
      <c r="Q5">
        <v>1</v>
      </c>
    </row>
    <row r="6" spans="1:17" x14ac:dyDescent="0.3">
      <c r="A6">
        <v>5</v>
      </c>
      <c r="B6" t="s">
        <v>16</v>
      </c>
      <c r="C6">
        <v>3</v>
      </c>
      <c r="D6">
        <v>3</v>
      </c>
      <c r="E6">
        <v>3</v>
      </c>
      <c r="F6">
        <v>3</v>
      </c>
      <c r="G6">
        <v>3</v>
      </c>
      <c r="I6">
        <v>2</v>
      </c>
      <c r="J6">
        <v>2</v>
      </c>
      <c r="K6">
        <v>2</v>
      </c>
      <c r="L6">
        <v>5</v>
      </c>
      <c r="M6">
        <v>5</v>
      </c>
      <c r="N6">
        <v>3</v>
      </c>
      <c r="O6" s="7">
        <f t="shared" si="0"/>
        <v>3.1111111111111112</v>
      </c>
      <c r="P6">
        <v>49</v>
      </c>
      <c r="Q6">
        <v>6</v>
      </c>
    </row>
    <row r="7" spans="1:17" x14ac:dyDescent="0.3">
      <c r="A7">
        <v>6</v>
      </c>
      <c r="B7" t="s">
        <v>17</v>
      </c>
      <c r="C7">
        <v>3</v>
      </c>
      <c r="D7">
        <v>3</v>
      </c>
      <c r="E7">
        <v>2</v>
      </c>
      <c r="F7">
        <v>2</v>
      </c>
      <c r="G7">
        <v>4</v>
      </c>
      <c r="I7">
        <v>2</v>
      </c>
      <c r="J7">
        <v>2</v>
      </c>
      <c r="K7">
        <v>2</v>
      </c>
      <c r="L7">
        <v>3</v>
      </c>
      <c r="M7">
        <v>3</v>
      </c>
      <c r="N7">
        <v>3</v>
      </c>
      <c r="O7" s="7">
        <f t="shared" si="0"/>
        <v>2.5555555555555554</v>
      </c>
      <c r="P7">
        <v>53</v>
      </c>
      <c r="Q7">
        <v>6</v>
      </c>
    </row>
    <row r="8" spans="1:17" x14ac:dyDescent="0.3">
      <c r="A8">
        <v>7</v>
      </c>
      <c r="B8" t="s">
        <v>18</v>
      </c>
      <c r="C8">
        <v>3</v>
      </c>
      <c r="D8">
        <v>4</v>
      </c>
      <c r="E8">
        <v>2</v>
      </c>
      <c r="F8">
        <v>3</v>
      </c>
      <c r="G8">
        <v>3</v>
      </c>
      <c r="I8">
        <v>2</v>
      </c>
      <c r="J8">
        <v>3</v>
      </c>
      <c r="K8">
        <v>2</v>
      </c>
      <c r="L8">
        <v>3</v>
      </c>
      <c r="M8">
        <v>5</v>
      </c>
      <c r="N8">
        <v>4</v>
      </c>
      <c r="O8" s="7">
        <f t="shared" si="0"/>
        <v>3</v>
      </c>
      <c r="P8">
        <v>50</v>
      </c>
      <c r="Q8">
        <v>7</v>
      </c>
    </row>
    <row r="9" spans="1:17" x14ac:dyDescent="0.3">
      <c r="A9">
        <v>8</v>
      </c>
      <c r="B9" t="s">
        <v>21</v>
      </c>
      <c r="C9">
        <v>4</v>
      </c>
      <c r="D9">
        <v>4</v>
      </c>
      <c r="E9">
        <v>3</v>
      </c>
      <c r="F9">
        <v>3</v>
      </c>
      <c r="G9">
        <v>2</v>
      </c>
      <c r="I9">
        <v>2</v>
      </c>
      <c r="J9">
        <v>2</v>
      </c>
      <c r="K9">
        <v>2</v>
      </c>
      <c r="L9">
        <v>5</v>
      </c>
      <c r="M9">
        <v>5</v>
      </c>
      <c r="N9">
        <v>3</v>
      </c>
      <c r="O9" s="7">
        <f t="shared" si="0"/>
        <v>3</v>
      </c>
      <c r="P9">
        <v>59</v>
      </c>
      <c r="Q9">
        <v>2</v>
      </c>
    </row>
    <row r="10" spans="1:17" x14ac:dyDescent="0.3">
      <c r="A10">
        <v>9</v>
      </c>
      <c r="B10" t="s">
        <v>23</v>
      </c>
      <c r="C10">
        <v>3</v>
      </c>
      <c r="D10">
        <v>4</v>
      </c>
      <c r="E10">
        <v>2</v>
      </c>
      <c r="F10">
        <v>3</v>
      </c>
      <c r="G10">
        <v>2</v>
      </c>
      <c r="I10">
        <v>2</v>
      </c>
      <c r="J10">
        <v>2</v>
      </c>
      <c r="K10">
        <v>2</v>
      </c>
      <c r="L10">
        <v>5</v>
      </c>
      <c r="M10">
        <v>5</v>
      </c>
      <c r="N10">
        <v>3</v>
      </c>
      <c r="O10" s="7">
        <f t="shared" si="0"/>
        <v>2.8888888888888888</v>
      </c>
      <c r="P10">
        <v>88</v>
      </c>
      <c r="Q10">
        <v>4</v>
      </c>
    </row>
    <row r="11" spans="1:17" x14ac:dyDescent="0.3">
      <c r="A11">
        <v>10</v>
      </c>
      <c r="B11" t="s">
        <v>24</v>
      </c>
      <c r="C11" s="9">
        <v>4</v>
      </c>
      <c r="D11">
        <v>2</v>
      </c>
      <c r="E11">
        <v>2</v>
      </c>
      <c r="F11">
        <v>2</v>
      </c>
      <c r="G11">
        <v>3</v>
      </c>
      <c r="I11">
        <v>1</v>
      </c>
      <c r="J11">
        <v>1</v>
      </c>
      <c r="K11">
        <v>2</v>
      </c>
      <c r="L11">
        <v>3</v>
      </c>
      <c r="M11">
        <v>3</v>
      </c>
      <c r="N11">
        <v>4</v>
      </c>
      <c r="O11" s="7">
        <v>1</v>
      </c>
      <c r="P11">
        <v>27</v>
      </c>
      <c r="Q11">
        <v>1</v>
      </c>
    </row>
    <row r="12" spans="1:17" x14ac:dyDescent="0.3">
      <c r="A12">
        <v>11</v>
      </c>
      <c r="B12" t="s">
        <v>26</v>
      </c>
      <c r="C12">
        <v>4</v>
      </c>
      <c r="D12">
        <v>5</v>
      </c>
      <c r="E12">
        <v>4</v>
      </c>
      <c r="F12">
        <v>4</v>
      </c>
      <c r="H12">
        <v>3</v>
      </c>
      <c r="I12">
        <v>3</v>
      </c>
      <c r="J12">
        <v>3</v>
      </c>
      <c r="K12">
        <v>3</v>
      </c>
      <c r="L12">
        <v>3</v>
      </c>
      <c r="M12">
        <v>3</v>
      </c>
      <c r="N12">
        <v>3</v>
      </c>
      <c r="O12" s="7">
        <f t="shared" si="0"/>
        <v>3.2222222222222223</v>
      </c>
      <c r="P12">
        <v>62</v>
      </c>
      <c r="Q12">
        <v>2</v>
      </c>
    </row>
    <row r="13" spans="1:17" x14ac:dyDescent="0.3">
      <c r="A13">
        <v>12</v>
      </c>
      <c r="B13" t="s">
        <v>27</v>
      </c>
      <c r="C13">
        <v>4</v>
      </c>
      <c r="D13">
        <v>4</v>
      </c>
      <c r="E13">
        <v>3</v>
      </c>
      <c r="F13">
        <v>3</v>
      </c>
      <c r="H13">
        <v>3</v>
      </c>
      <c r="I13">
        <v>2</v>
      </c>
      <c r="J13">
        <v>2</v>
      </c>
      <c r="K13">
        <v>2</v>
      </c>
      <c r="L13">
        <v>4</v>
      </c>
      <c r="M13">
        <v>3</v>
      </c>
      <c r="N13">
        <v>3</v>
      </c>
      <c r="O13" s="7">
        <f t="shared" si="0"/>
        <v>2.7777777777777777</v>
      </c>
      <c r="P13">
        <v>23</v>
      </c>
      <c r="Q13">
        <v>0</v>
      </c>
    </row>
    <row r="14" spans="1:17" x14ac:dyDescent="0.3">
      <c r="A14">
        <v>13</v>
      </c>
      <c r="B14" t="s">
        <v>28</v>
      </c>
      <c r="C14">
        <v>4</v>
      </c>
      <c r="D14">
        <v>3</v>
      </c>
      <c r="E14">
        <v>3</v>
      </c>
      <c r="F14">
        <v>3</v>
      </c>
      <c r="G14">
        <v>4</v>
      </c>
      <c r="I14">
        <v>2</v>
      </c>
      <c r="J14">
        <v>2</v>
      </c>
      <c r="K14">
        <v>3</v>
      </c>
      <c r="L14">
        <v>5</v>
      </c>
      <c r="M14">
        <v>5</v>
      </c>
      <c r="N14">
        <v>3</v>
      </c>
      <c r="O14" s="7">
        <f t="shared" si="0"/>
        <v>3.3333333333333335</v>
      </c>
      <c r="P14">
        <v>30</v>
      </c>
      <c r="Q14">
        <v>5</v>
      </c>
    </row>
    <row r="15" spans="1:17" x14ac:dyDescent="0.3">
      <c r="A15">
        <v>14</v>
      </c>
      <c r="B15" t="s">
        <v>29</v>
      </c>
      <c r="C15">
        <v>3</v>
      </c>
      <c r="D15">
        <v>2</v>
      </c>
      <c r="E15">
        <v>2</v>
      </c>
      <c r="F15">
        <v>2</v>
      </c>
      <c r="H15">
        <v>1</v>
      </c>
      <c r="I15">
        <v>1</v>
      </c>
      <c r="J15">
        <v>2</v>
      </c>
      <c r="K15">
        <v>3</v>
      </c>
      <c r="L15">
        <v>3</v>
      </c>
      <c r="M15">
        <v>3</v>
      </c>
      <c r="N15">
        <v>3</v>
      </c>
      <c r="O15" s="7">
        <v>1</v>
      </c>
      <c r="P15">
        <v>86</v>
      </c>
      <c r="Q15">
        <v>4</v>
      </c>
    </row>
    <row r="16" spans="1:17" x14ac:dyDescent="0.3">
      <c r="A16">
        <v>15</v>
      </c>
      <c r="B16" t="s">
        <v>30</v>
      </c>
      <c r="C16">
        <v>4</v>
      </c>
      <c r="D16">
        <v>4</v>
      </c>
      <c r="E16">
        <v>2</v>
      </c>
      <c r="F16">
        <v>2</v>
      </c>
      <c r="H16">
        <v>3</v>
      </c>
      <c r="I16">
        <v>2</v>
      </c>
      <c r="J16">
        <v>2</v>
      </c>
      <c r="K16">
        <v>2</v>
      </c>
      <c r="L16">
        <v>4</v>
      </c>
      <c r="M16">
        <v>3</v>
      </c>
      <c r="N16">
        <v>4</v>
      </c>
      <c r="O16" s="7">
        <f t="shared" si="0"/>
        <v>2.6666666666666665</v>
      </c>
      <c r="P16">
        <v>49</v>
      </c>
      <c r="Q16">
        <v>0</v>
      </c>
    </row>
    <row r="17" spans="1:17" x14ac:dyDescent="0.3">
      <c r="A17">
        <v>16</v>
      </c>
      <c r="B17" t="s">
        <v>32</v>
      </c>
      <c r="C17">
        <v>3</v>
      </c>
      <c r="D17">
        <v>2</v>
      </c>
      <c r="E17">
        <v>2</v>
      </c>
      <c r="F17">
        <v>2</v>
      </c>
      <c r="H17">
        <v>2</v>
      </c>
      <c r="I17">
        <v>2</v>
      </c>
      <c r="J17">
        <v>1</v>
      </c>
      <c r="K17">
        <v>3</v>
      </c>
      <c r="L17">
        <v>1</v>
      </c>
      <c r="M17">
        <v>3</v>
      </c>
      <c r="N17">
        <v>4</v>
      </c>
      <c r="O17" s="7">
        <v>1</v>
      </c>
      <c r="P17">
        <v>39</v>
      </c>
      <c r="Q17">
        <v>12</v>
      </c>
    </row>
    <row r="18" spans="1:17" x14ac:dyDescent="0.3">
      <c r="A18">
        <v>17</v>
      </c>
      <c r="B18" t="s">
        <v>34</v>
      </c>
      <c r="C18">
        <v>4</v>
      </c>
      <c r="D18">
        <v>4</v>
      </c>
      <c r="E18">
        <v>4</v>
      </c>
      <c r="F18">
        <v>4</v>
      </c>
      <c r="H18">
        <v>3</v>
      </c>
      <c r="I18">
        <v>2</v>
      </c>
      <c r="J18">
        <v>3</v>
      </c>
      <c r="K18">
        <v>4</v>
      </c>
      <c r="L18">
        <v>3</v>
      </c>
      <c r="M18">
        <v>3</v>
      </c>
      <c r="N18">
        <v>3</v>
      </c>
      <c r="O18" s="7">
        <f t="shared" si="0"/>
        <v>3.2222222222222223</v>
      </c>
      <c r="P18">
        <v>19</v>
      </c>
      <c r="Q18">
        <v>0</v>
      </c>
    </row>
    <row r="19" spans="1:17" x14ac:dyDescent="0.3">
      <c r="A19">
        <v>18</v>
      </c>
      <c r="B19" t="s">
        <v>37</v>
      </c>
      <c r="C19">
        <v>4</v>
      </c>
      <c r="D19">
        <v>3</v>
      </c>
      <c r="E19">
        <v>2</v>
      </c>
      <c r="F19">
        <v>2</v>
      </c>
      <c r="I19">
        <v>3</v>
      </c>
      <c r="J19">
        <v>1</v>
      </c>
      <c r="K19">
        <v>3</v>
      </c>
      <c r="L19">
        <v>4</v>
      </c>
      <c r="M19">
        <v>3</v>
      </c>
      <c r="N19">
        <v>3</v>
      </c>
      <c r="O19" s="7">
        <v>1</v>
      </c>
      <c r="P19">
        <v>32</v>
      </c>
      <c r="Q19">
        <v>1</v>
      </c>
    </row>
    <row r="20" spans="1:17" x14ac:dyDescent="0.3">
      <c r="A20">
        <v>19</v>
      </c>
      <c r="B20" t="s">
        <v>38</v>
      </c>
      <c r="C20">
        <v>4</v>
      </c>
      <c r="D20">
        <v>4</v>
      </c>
      <c r="E20">
        <v>2</v>
      </c>
      <c r="F20">
        <v>2</v>
      </c>
      <c r="G20">
        <v>2</v>
      </c>
      <c r="I20">
        <v>2</v>
      </c>
      <c r="J20">
        <v>2</v>
      </c>
      <c r="K20">
        <v>2</v>
      </c>
      <c r="L20">
        <v>5</v>
      </c>
      <c r="M20">
        <v>5</v>
      </c>
      <c r="N20">
        <v>3</v>
      </c>
      <c r="O20" s="7">
        <f t="shared" si="0"/>
        <v>2.7777777777777777</v>
      </c>
      <c r="P20">
        <v>67</v>
      </c>
      <c r="Q20">
        <v>1</v>
      </c>
    </row>
    <row r="21" spans="1:17" x14ac:dyDescent="0.3">
      <c r="A21">
        <v>20</v>
      </c>
      <c r="B21" t="s">
        <v>42</v>
      </c>
      <c r="C21">
        <v>4</v>
      </c>
      <c r="D21">
        <v>4</v>
      </c>
      <c r="E21">
        <v>2</v>
      </c>
      <c r="F21">
        <v>2</v>
      </c>
      <c r="G21">
        <v>3</v>
      </c>
      <c r="I21">
        <v>2</v>
      </c>
      <c r="J21">
        <v>2</v>
      </c>
      <c r="K21">
        <v>2</v>
      </c>
      <c r="L21">
        <v>3</v>
      </c>
      <c r="M21">
        <v>5</v>
      </c>
      <c r="N21">
        <v>3</v>
      </c>
      <c r="O21" s="7">
        <f t="shared" si="0"/>
        <v>2.6666666666666665</v>
      </c>
      <c r="P21">
        <v>12</v>
      </c>
      <c r="Q21">
        <v>2</v>
      </c>
    </row>
    <row r="22" spans="1:17" x14ac:dyDescent="0.3">
      <c r="C22" s="7">
        <f>AVERAGE(C2:C21)</f>
        <v>3.7</v>
      </c>
      <c r="D22" s="7">
        <f t="shared" ref="D22:O22" si="1">AVERAGE(D2:D21)</f>
        <v>3.55</v>
      </c>
      <c r="E22" s="7">
        <f t="shared" si="1"/>
        <v>2.6</v>
      </c>
      <c r="F22" s="7">
        <f t="shared" si="1"/>
        <v>2.8</v>
      </c>
      <c r="G22" s="7">
        <f t="shared" si="1"/>
        <v>3</v>
      </c>
      <c r="H22" s="7">
        <f t="shared" si="1"/>
        <v>2.5</v>
      </c>
      <c r="I22" s="7">
        <f t="shared" si="1"/>
        <v>2.15</v>
      </c>
      <c r="J22" s="7">
        <f t="shared" si="1"/>
        <v>2.1</v>
      </c>
      <c r="K22" s="7">
        <f t="shared" si="1"/>
        <v>2.5499999999999998</v>
      </c>
      <c r="L22" s="7">
        <f t="shared" si="1"/>
        <v>3.8</v>
      </c>
      <c r="M22" s="7">
        <f t="shared" si="1"/>
        <v>3.9</v>
      </c>
      <c r="N22" s="7">
        <f t="shared" si="1"/>
        <v>3.25</v>
      </c>
      <c r="O22" s="7">
        <f t="shared" si="1"/>
        <v>2.6166666666666663</v>
      </c>
      <c r="P22">
        <f>SUM(P2:P21)</f>
        <v>841</v>
      </c>
      <c r="Q22">
        <f>SUM(Q2:Q21)</f>
        <v>56</v>
      </c>
    </row>
    <row r="25" spans="1:17" x14ac:dyDescent="0.3">
      <c r="B25" t="s">
        <v>288</v>
      </c>
      <c r="C25">
        <v>5</v>
      </c>
      <c r="D25">
        <v>4</v>
      </c>
      <c r="E25">
        <v>3</v>
      </c>
      <c r="F25">
        <v>2</v>
      </c>
      <c r="G25">
        <v>1</v>
      </c>
      <c r="H25" t="s">
        <v>302</v>
      </c>
    </row>
    <row r="27" spans="1:17" x14ac:dyDescent="0.3">
      <c r="B27" t="s">
        <v>289</v>
      </c>
      <c r="C27">
        <v>0</v>
      </c>
      <c r="D27">
        <v>3</v>
      </c>
      <c r="E27">
        <v>6</v>
      </c>
      <c r="F27">
        <v>11</v>
      </c>
      <c r="G27">
        <v>0</v>
      </c>
    </row>
    <row r="28" spans="1:17" x14ac:dyDescent="0.3">
      <c r="B28" t="s">
        <v>290</v>
      </c>
      <c r="C28">
        <v>0</v>
      </c>
      <c r="D28">
        <v>5</v>
      </c>
      <c r="E28">
        <v>6</v>
      </c>
      <c r="F28">
        <v>9</v>
      </c>
      <c r="G28">
        <v>0</v>
      </c>
    </row>
    <row r="29" spans="1:17" x14ac:dyDescent="0.3">
      <c r="B29" t="s">
        <v>291</v>
      </c>
      <c r="C29">
        <v>0</v>
      </c>
      <c r="D29">
        <v>4</v>
      </c>
      <c r="E29">
        <v>5</v>
      </c>
      <c r="F29">
        <v>4</v>
      </c>
      <c r="G29">
        <v>0</v>
      </c>
    </row>
    <row r="30" spans="1:17" x14ac:dyDescent="0.3">
      <c r="B30" t="s">
        <v>292</v>
      </c>
      <c r="C30">
        <v>0</v>
      </c>
      <c r="D30">
        <v>0</v>
      </c>
      <c r="E30">
        <v>4</v>
      </c>
      <c r="F30">
        <v>1</v>
      </c>
      <c r="G30">
        <v>1</v>
      </c>
    </row>
    <row r="31" spans="1:17" x14ac:dyDescent="0.3">
      <c r="B31" t="s">
        <v>293</v>
      </c>
      <c r="C31">
        <v>0</v>
      </c>
      <c r="D31">
        <v>1</v>
      </c>
      <c r="E31">
        <v>3</v>
      </c>
      <c r="F31">
        <v>14</v>
      </c>
      <c r="G31">
        <v>2</v>
      </c>
    </row>
    <row r="32" spans="1:17" x14ac:dyDescent="0.3">
      <c r="B32" t="s">
        <v>294</v>
      </c>
      <c r="C32">
        <v>0</v>
      </c>
      <c r="D32">
        <v>1</v>
      </c>
      <c r="E32">
        <v>4</v>
      </c>
      <c r="F32">
        <v>11</v>
      </c>
      <c r="G32">
        <v>4</v>
      </c>
    </row>
    <row r="33" spans="2:7" x14ac:dyDescent="0.3">
      <c r="B33" t="s">
        <v>295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2:7" x14ac:dyDescent="0.3">
      <c r="B34" t="s">
        <v>296</v>
      </c>
      <c r="C34">
        <v>0</v>
      </c>
      <c r="D34">
        <v>2</v>
      </c>
      <c r="E34">
        <v>7</v>
      </c>
      <c r="F34">
        <v>11</v>
      </c>
      <c r="G34">
        <v>0</v>
      </c>
    </row>
    <row r="35" spans="2:7" x14ac:dyDescent="0.3">
      <c r="B35" t="s">
        <v>297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2:7" x14ac:dyDescent="0.3">
      <c r="B36" t="s">
        <v>298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2:7" x14ac:dyDescent="0.3">
      <c r="B37" t="s">
        <v>299</v>
      </c>
      <c r="C37">
        <v>7</v>
      </c>
      <c r="D37">
        <v>4</v>
      </c>
      <c r="E37">
        <v>8</v>
      </c>
      <c r="F37">
        <v>0</v>
      </c>
      <c r="G37">
        <v>1</v>
      </c>
    </row>
    <row r="38" spans="2:7" x14ac:dyDescent="0.3">
      <c r="B38" t="s">
        <v>300</v>
      </c>
      <c r="C38">
        <v>9</v>
      </c>
      <c r="D38">
        <v>0</v>
      </c>
      <c r="E38">
        <v>11</v>
      </c>
      <c r="F38">
        <v>0</v>
      </c>
      <c r="G38">
        <v>0</v>
      </c>
    </row>
    <row r="39" spans="2:7" x14ac:dyDescent="0.3">
      <c r="B39" t="s">
        <v>301</v>
      </c>
      <c r="C39">
        <v>0</v>
      </c>
      <c r="D39">
        <v>5</v>
      </c>
      <c r="E39">
        <v>15</v>
      </c>
      <c r="F39">
        <v>0</v>
      </c>
      <c r="G39">
        <v>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2"/>
  <sheetViews>
    <sheetView workbookViewId="0">
      <selection sqref="A1:Q22"/>
    </sheetView>
  </sheetViews>
  <sheetFormatPr defaultRowHeight="14.4" x14ac:dyDescent="0.3"/>
  <sheetData>
    <row r="1" spans="1:17" x14ac:dyDescent="0.3">
      <c r="A1" s="2"/>
      <c r="B1" s="2" t="s">
        <v>0</v>
      </c>
      <c r="C1" t="s">
        <v>281</v>
      </c>
      <c r="D1" t="s">
        <v>226</v>
      </c>
      <c r="E1" t="s">
        <v>282</v>
      </c>
      <c r="F1" t="s">
        <v>228</v>
      </c>
      <c r="G1" t="s">
        <v>231</v>
      </c>
      <c r="H1" t="s">
        <v>230</v>
      </c>
      <c r="I1" t="s">
        <v>283</v>
      </c>
      <c r="J1" t="s">
        <v>229</v>
      </c>
      <c r="K1" t="s">
        <v>234</v>
      </c>
      <c r="L1" t="s">
        <v>235</v>
      </c>
      <c r="M1" t="s">
        <v>284</v>
      </c>
      <c r="N1" t="s">
        <v>285</v>
      </c>
      <c r="O1" t="s">
        <v>239</v>
      </c>
      <c r="P1" t="s">
        <v>286</v>
      </c>
      <c r="Q1" t="s">
        <v>287</v>
      </c>
    </row>
    <row r="2" spans="1:17" x14ac:dyDescent="0.3">
      <c r="A2">
        <v>1</v>
      </c>
      <c r="B2" t="s">
        <v>9</v>
      </c>
      <c r="C2">
        <v>4</v>
      </c>
      <c r="D2">
        <v>4</v>
      </c>
      <c r="E2">
        <v>2</v>
      </c>
      <c r="F2">
        <v>2</v>
      </c>
      <c r="G2">
        <v>2</v>
      </c>
      <c r="I2">
        <v>2</v>
      </c>
      <c r="J2">
        <v>3</v>
      </c>
      <c r="K2">
        <v>2</v>
      </c>
      <c r="L2">
        <v>3</v>
      </c>
      <c r="M2">
        <v>5</v>
      </c>
      <c r="N2">
        <v>4</v>
      </c>
      <c r="O2" s="7">
        <f>AVERAGE(E2:N2)</f>
        <v>2.7777777777777777</v>
      </c>
      <c r="P2">
        <v>66</v>
      </c>
      <c r="Q2">
        <v>2</v>
      </c>
    </row>
    <row r="3" spans="1:17" x14ac:dyDescent="0.3">
      <c r="A3">
        <v>2</v>
      </c>
      <c r="B3" t="s">
        <v>10</v>
      </c>
      <c r="C3">
        <v>4</v>
      </c>
      <c r="D3">
        <v>3</v>
      </c>
      <c r="E3">
        <v>4</v>
      </c>
      <c r="F3">
        <v>4</v>
      </c>
      <c r="G3">
        <v>4</v>
      </c>
      <c r="I3">
        <v>4</v>
      </c>
      <c r="J3">
        <v>1</v>
      </c>
      <c r="K3">
        <v>3</v>
      </c>
      <c r="L3">
        <v>5</v>
      </c>
      <c r="M3">
        <v>5</v>
      </c>
      <c r="N3">
        <v>3</v>
      </c>
      <c r="O3" s="7">
        <f t="shared" ref="O3:O21" si="0">AVERAGE(E3:N3)</f>
        <v>3.6666666666666665</v>
      </c>
      <c r="P3">
        <v>0</v>
      </c>
      <c r="Q3">
        <v>0</v>
      </c>
    </row>
    <row r="4" spans="1:17" x14ac:dyDescent="0.3">
      <c r="A4">
        <v>3</v>
      </c>
      <c r="B4" t="s">
        <v>13</v>
      </c>
      <c r="C4">
        <v>4</v>
      </c>
      <c r="D4">
        <v>4</v>
      </c>
      <c r="E4">
        <v>3</v>
      </c>
      <c r="F4">
        <v>4</v>
      </c>
      <c r="G4">
        <v>4</v>
      </c>
      <c r="I4">
        <v>2</v>
      </c>
      <c r="J4">
        <v>2</v>
      </c>
      <c r="K4">
        <v>3</v>
      </c>
      <c r="L4">
        <v>4</v>
      </c>
      <c r="M4">
        <v>3</v>
      </c>
      <c r="N4">
        <v>3</v>
      </c>
      <c r="O4" s="7">
        <f t="shared" si="0"/>
        <v>3.1111111111111112</v>
      </c>
      <c r="P4">
        <v>30</v>
      </c>
      <c r="Q4">
        <v>0</v>
      </c>
    </row>
    <row r="5" spans="1:17" x14ac:dyDescent="0.3">
      <c r="A5">
        <v>4</v>
      </c>
      <c r="B5" t="s">
        <v>15</v>
      </c>
      <c r="C5">
        <v>4</v>
      </c>
      <c r="D5">
        <v>5</v>
      </c>
      <c r="E5">
        <v>3</v>
      </c>
      <c r="F5">
        <v>4</v>
      </c>
      <c r="G5">
        <v>3</v>
      </c>
      <c r="I5">
        <v>3</v>
      </c>
      <c r="J5">
        <v>4</v>
      </c>
      <c r="K5">
        <v>4</v>
      </c>
      <c r="L5">
        <v>5</v>
      </c>
      <c r="M5">
        <v>3</v>
      </c>
      <c r="N5">
        <v>3</v>
      </c>
      <c r="O5" s="7">
        <f t="shared" si="0"/>
        <v>3.5555555555555554</v>
      </c>
      <c r="P5">
        <v>0</v>
      </c>
      <c r="Q5">
        <v>1</v>
      </c>
    </row>
    <row r="6" spans="1:17" x14ac:dyDescent="0.3">
      <c r="A6">
        <v>5</v>
      </c>
      <c r="B6" t="s">
        <v>16</v>
      </c>
      <c r="C6">
        <v>3</v>
      </c>
      <c r="D6">
        <v>3</v>
      </c>
      <c r="E6">
        <v>3</v>
      </c>
      <c r="F6">
        <v>3</v>
      </c>
      <c r="G6">
        <v>3</v>
      </c>
      <c r="I6">
        <v>2</v>
      </c>
      <c r="J6">
        <v>2</v>
      </c>
      <c r="K6">
        <v>2</v>
      </c>
      <c r="L6">
        <v>5</v>
      </c>
      <c r="M6">
        <v>5</v>
      </c>
      <c r="N6">
        <v>3</v>
      </c>
      <c r="O6" s="7">
        <f t="shared" si="0"/>
        <v>3.1111111111111112</v>
      </c>
      <c r="P6">
        <v>49</v>
      </c>
      <c r="Q6">
        <v>6</v>
      </c>
    </row>
    <row r="7" spans="1:17" x14ac:dyDescent="0.3">
      <c r="A7">
        <v>6</v>
      </c>
      <c r="B7" t="s">
        <v>17</v>
      </c>
      <c r="C7">
        <v>3</v>
      </c>
      <c r="D7">
        <v>3</v>
      </c>
      <c r="E7">
        <v>2</v>
      </c>
      <c r="F7">
        <v>2</v>
      </c>
      <c r="G7">
        <v>4</v>
      </c>
      <c r="I7">
        <v>2</v>
      </c>
      <c r="J7">
        <v>2</v>
      </c>
      <c r="K7">
        <v>2</v>
      </c>
      <c r="L7">
        <v>3</v>
      </c>
      <c r="M7">
        <v>3</v>
      </c>
      <c r="N7">
        <v>3</v>
      </c>
      <c r="O7" s="7">
        <f t="shared" si="0"/>
        <v>2.5555555555555554</v>
      </c>
      <c r="P7">
        <v>53</v>
      </c>
      <c r="Q7">
        <v>6</v>
      </c>
    </row>
    <row r="8" spans="1:17" x14ac:dyDescent="0.3">
      <c r="A8">
        <v>7</v>
      </c>
      <c r="B8" t="s">
        <v>18</v>
      </c>
      <c r="C8">
        <v>3</v>
      </c>
      <c r="D8">
        <v>4</v>
      </c>
      <c r="E8">
        <v>2</v>
      </c>
      <c r="F8">
        <v>3</v>
      </c>
      <c r="G8">
        <v>3</v>
      </c>
      <c r="I8">
        <v>2</v>
      </c>
      <c r="J8">
        <v>3</v>
      </c>
      <c r="K8">
        <v>2</v>
      </c>
      <c r="L8">
        <v>3</v>
      </c>
      <c r="M8">
        <v>5</v>
      </c>
      <c r="N8">
        <v>4</v>
      </c>
      <c r="O8" s="7">
        <f t="shared" si="0"/>
        <v>3</v>
      </c>
      <c r="P8">
        <v>50</v>
      </c>
      <c r="Q8">
        <v>7</v>
      </c>
    </row>
    <row r="9" spans="1:17" x14ac:dyDescent="0.3">
      <c r="A9">
        <v>8</v>
      </c>
      <c r="B9" t="s">
        <v>21</v>
      </c>
      <c r="C9">
        <v>4</v>
      </c>
      <c r="D9">
        <v>4</v>
      </c>
      <c r="E9">
        <v>3</v>
      </c>
      <c r="F9">
        <v>3</v>
      </c>
      <c r="G9">
        <v>2</v>
      </c>
      <c r="I9">
        <v>2</v>
      </c>
      <c r="J9">
        <v>2</v>
      </c>
      <c r="K9">
        <v>2</v>
      </c>
      <c r="L9">
        <v>5</v>
      </c>
      <c r="M9">
        <v>5</v>
      </c>
      <c r="N9">
        <v>3</v>
      </c>
      <c r="O9" s="7">
        <f t="shared" si="0"/>
        <v>3</v>
      </c>
      <c r="P9">
        <v>59</v>
      </c>
      <c r="Q9">
        <v>2</v>
      </c>
    </row>
    <row r="10" spans="1:17" x14ac:dyDescent="0.3">
      <c r="A10">
        <v>9</v>
      </c>
      <c r="B10" t="s">
        <v>23</v>
      </c>
      <c r="C10">
        <v>3</v>
      </c>
      <c r="D10">
        <v>4</v>
      </c>
      <c r="E10">
        <v>2</v>
      </c>
      <c r="F10">
        <v>3</v>
      </c>
      <c r="G10">
        <v>2</v>
      </c>
      <c r="I10">
        <v>2</v>
      </c>
      <c r="J10">
        <v>2</v>
      </c>
      <c r="K10">
        <v>2</v>
      </c>
      <c r="L10">
        <v>5</v>
      </c>
      <c r="M10">
        <v>5</v>
      </c>
      <c r="N10">
        <v>3</v>
      </c>
      <c r="O10" s="7">
        <f t="shared" si="0"/>
        <v>2.8888888888888888</v>
      </c>
      <c r="P10">
        <v>88</v>
      </c>
      <c r="Q10">
        <v>4</v>
      </c>
    </row>
    <row r="11" spans="1:17" x14ac:dyDescent="0.3">
      <c r="A11">
        <v>10</v>
      </c>
      <c r="B11" t="s">
        <v>24</v>
      </c>
      <c r="C11" s="9">
        <v>4</v>
      </c>
      <c r="D11">
        <v>2</v>
      </c>
      <c r="E11">
        <v>2</v>
      </c>
      <c r="F11">
        <v>2</v>
      </c>
      <c r="G11">
        <v>3</v>
      </c>
      <c r="I11">
        <v>1</v>
      </c>
      <c r="J11">
        <v>1</v>
      </c>
      <c r="K11">
        <v>2</v>
      </c>
      <c r="L11">
        <v>3</v>
      </c>
      <c r="M11">
        <v>3</v>
      </c>
      <c r="N11">
        <v>4</v>
      </c>
      <c r="O11" s="7">
        <v>1</v>
      </c>
      <c r="P11">
        <v>27</v>
      </c>
      <c r="Q11">
        <v>1</v>
      </c>
    </row>
    <row r="12" spans="1:17" x14ac:dyDescent="0.3">
      <c r="A12">
        <v>11</v>
      </c>
      <c r="B12" t="s">
        <v>26</v>
      </c>
      <c r="C12">
        <v>4</v>
      </c>
      <c r="D12">
        <v>5</v>
      </c>
      <c r="E12">
        <v>4</v>
      </c>
      <c r="F12">
        <v>4</v>
      </c>
      <c r="H12">
        <v>3</v>
      </c>
      <c r="I12">
        <v>3</v>
      </c>
      <c r="J12">
        <v>3</v>
      </c>
      <c r="K12">
        <v>3</v>
      </c>
      <c r="L12">
        <v>3</v>
      </c>
      <c r="M12">
        <v>3</v>
      </c>
      <c r="N12">
        <v>3</v>
      </c>
      <c r="O12" s="7">
        <f t="shared" si="0"/>
        <v>3.2222222222222223</v>
      </c>
      <c r="P12">
        <v>62</v>
      </c>
      <c r="Q12">
        <v>2</v>
      </c>
    </row>
    <row r="13" spans="1:17" x14ac:dyDescent="0.3">
      <c r="A13">
        <v>12</v>
      </c>
      <c r="B13" t="s">
        <v>27</v>
      </c>
      <c r="C13">
        <v>4</v>
      </c>
      <c r="D13">
        <v>4</v>
      </c>
      <c r="E13">
        <v>3</v>
      </c>
      <c r="F13">
        <v>3</v>
      </c>
      <c r="H13">
        <v>3</v>
      </c>
      <c r="I13">
        <v>2</v>
      </c>
      <c r="J13">
        <v>2</v>
      </c>
      <c r="K13">
        <v>2</v>
      </c>
      <c r="L13">
        <v>4</v>
      </c>
      <c r="M13">
        <v>3</v>
      </c>
      <c r="N13">
        <v>3</v>
      </c>
      <c r="O13" s="7">
        <f t="shared" si="0"/>
        <v>2.7777777777777777</v>
      </c>
      <c r="P13">
        <v>23</v>
      </c>
      <c r="Q13">
        <v>0</v>
      </c>
    </row>
    <row r="14" spans="1:17" x14ac:dyDescent="0.3">
      <c r="A14">
        <v>13</v>
      </c>
      <c r="B14" t="s">
        <v>28</v>
      </c>
      <c r="C14">
        <v>4</v>
      </c>
      <c r="D14">
        <v>3</v>
      </c>
      <c r="E14">
        <v>3</v>
      </c>
      <c r="F14">
        <v>3</v>
      </c>
      <c r="G14">
        <v>4</v>
      </c>
      <c r="I14">
        <v>2</v>
      </c>
      <c r="J14">
        <v>2</v>
      </c>
      <c r="K14">
        <v>3</v>
      </c>
      <c r="L14">
        <v>5</v>
      </c>
      <c r="M14">
        <v>5</v>
      </c>
      <c r="N14">
        <v>3</v>
      </c>
      <c r="O14" s="7">
        <f t="shared" si="0"/>
        <v>3.3333333333333335</v>
      </c>
      <c r="P14">
        <v>30</v>
      </c>
      <c r="Q14">
        <v>5</v>
      </c>
    </row>
    <row r="15" spans="1:17" x14ac:dyDescent="0.3">
      <c r="A15">
        <v>14</v>
      </c>
      <c r="B15" t="s">
        <v>29</v>
      </c>
      <c r="C15">
        <v>3</v>
      </c>
      <c r="D15">
        <v>2</v>
      </c>
      <c r="E15">
        <v>2</v>
      </c>
      <c r="F15">
        <v>2</v>
      </c>
      <c r="H15">
        <v>1</v>
      </c>
      <c r="I15">
        <v>1</v>
      </c>
      <c r="J15">
        <v>2</v>
      </c>
      <c r="K15">
        <v>3</v>
      </c>
      <c r="L15">
        <v>3</v>
      </c>
      <c r="M15">
        <v>3</v>
      </c>
      <c r="N15">
        <v>3</v>
      </c>
      <c r="O15" s="7">
        <v>1</v>
      </c>
      <c r="P15">
        <v>86</v>
      </c>
      <c r="Q15">
        <v>4</v>
      </c>
    </row>
    <row r="16" spans="1:17" x14ac:dyDescent="0.3">
      <c r="A16">
        <v>15</v>
      </c>
      <c r="B16" t="s">
        <v>30</v>
      </c>
      <c r="C16">
        <v>4</v>
      </c>
      <c r="D16">
        <v>4</v>
      </c>
      <c r="E16">
        <v>2</v>
      </c>
      <c r="F16">
        <v>2</v>
      </c>
      <c r="H16">
        <v>3</v>
      </c>
      <c r="I16">
        <v>2</v>
      </c>
      <c r="J16">
        <v>2</v>
      </c>
      <c r="K16">
        <v>2</v>
      </c>
      <c r="L16">
        <v>4</v>
      </c>
      <c r="M16">
        <v>3</v>
      </c>
      <c r="N16">
        <v>4</v>
      </c>
      <c r="O16" s="7">
        <f t="shared" si="0"/>
        <v>2.6666666666666665</v>
      </c>
      <c r="P16">
        <v>49</v>
      </c>
      <c r="Q16">
        <v>0</v>
      </c>
    </row>
    <row r="17" spans="1:17" x14ac:dyDescent="0.3">
      <c r="A17">
        <v>16</v>
      </c>
      <c r="B17" t="s">
        <v>32</v>
      </c>
      <c r="C17">
        <v>3</v>
      </c>
      <c r="D17">
        <v>2</v>
      </c>
      <c r="E17">
        <v>2</v>
      </c>
      <c r="F17">
        <v>2</v>
      </c>
      <c r="H17">
        <v>2</v>
      </c>
      <c r="I17">
        <v>2</v>
      </c>
      <c r="J17">
        <v>1</v>
      </c>
      <c r="K17">
        <v>3</v>
      </c>
      <c r="L17">
        <v>1</v>
      </c>
      <c r="M17">
        <v>3</v>
      </c>
      <c r="N17">
        <v>4</v>
      </c>
      <c r="O17" s="7">
        <v>1</v>
      </c>
      <c r="P17">
        <v>39</v>
      </c>
      <c r="Q17">
        <v>12</v>
      </c>
    </row>
    <row r="18" spans="1:17" x14ac:dyDescent="0.3">
      <c r="A18">
        <v>17</v>
      </c>
      <c r="B18" t="s">
        <v>34</v>
      </c>
      <c r="C18">
        <v>4</v>
      </c>
      <c r="D18">
        <v>4</v>
      </c>
      <c r="E18">
        <v>4</v>
      </c>
      <c r="F18">
        <v>4</v>
      </c>
      <c r="H18">
        <v>3</v>
      </c>
      <c r="I18">
        <v>2</v>
      </c>
      <c r="J18">
        <v>3</v>
      </c>
      <c r="K18">
        <v>4</v>
      </c>
      <c r="L18">
        <v>3</v>
      </c>
      <c r="M18">
        <v>3</v>
      </c>
      <c r="N18">
        <v>3</v>
      </c>
      <c r="O18" s="7">
        <f t="shared" si="0"/>
        <v>3.2222222222222223</v>
      </c>
      <c r="P18">
        <v>19</v>
      </c>
      <c r="Q18">
        <v>0</v>
      </c>
    </row>
    <row r="19" spans="1:17" x14ac:dyDescent="0.3">
      <c r="A19">
        <v>18</v>
      </c>
      <c r="B19" t="s">
        <v>37</v>
      </c>
      <c r="C19">
        <v>4</v>
      </c>
      <c r="D19">
        <v>3</v>
      </c>
      <c r="E19">
        <v>2</v>
      </c>
      <c r="F19">
        <v>2</v>
      </c>
      <c r="I19">
        <v>3</v>
      </c>
      <c r="J19">
        <v>1</v>
      </c>
      <c r="K19">
        <v>3</v>
      </c>
      <c r="L19">
        <v>4</v>
      </c>
      <c r="M19">
        <v>3</v>
      </c>
      <c r="N19">
        <v>3</v>
      </c>
      <c r="O19" s="7">
        <v>1</v>
      </c>
      <c r="P19">
        <v>32</v>
      </c>
      <c r="Q19">
        <v>1</v>
      </c>
    </row>
    <row r="20" spans="1:17" x14ac:dyDescent="0.3">
      <c r="A20">
        <v>19</v>
      </c>
      <c r="B20" t="s">
        <v>38</v>
      </c>
      <c r="C20">
        <v>4</v>
      </c>
      <c r="D20">
        <v>4</v>
      </c>
      <c r="E20">
        <v>2</v>
      </c>
      <c r="F20">
        <v>2</v>
      </c>
      <c r="G20">
        <v>2</v>
      </c>
      <c r="I20">
        <v>2</v>
      </c>
      <c r="J20">
        <v>2</v>
      </c>
      <c r="K20">
        <v>2</v>
      </c>
      <c r="L20">
        <v>5</v>
      </c>
      <c r="M20">
        <v>5</v>
      </c>
      <c r="N20">
        <v>3</v>
      </c>
      <c r="O20" s="7">
        <f t="shared" si="0"/>
        <v>2.7777777777777777</v>
      </c>
      <c r="P20">
        <v>67</v>
      </c>
      <c r="Q20">
        <v>1</v>
      </c>
    </row>
    <row r="21" spans="1:17" x14ac:dyDescent="0.3">
      <c r="A21">
        <v>20</v>
      </c>
      <c r="B21" t="s">
        <v>42</v>
      </c>
      <c r="C21">
        <v>4</v>
      </c>
      <c r="D21">
        <v>4</v>
      </c>
      <c r="E21">
        <v>2</v>
      </c>
      <c r="F21">
        <v>2</v>
      </c>
      <c r="G21">
        <v>3</v>
      </c>
      <c r="I21">
        <v>2</v>
      </c>
      <c r="J21">
        <v>2</v>
      </c>
      <c r="K21">
        <v>2</v>
      </c>
      <c r="L21">
        <v>3</v>
      </c>
      <c r="M21">
        <v>5</v>
      </c>
      <c r="N21">
        <v>3</v>
      </c>
      <c r="O21" s="7">
        <f t="shared" si="0"/>
        <v>2.6666666666666665</v>
      </c>
      <c r="P21">
        <v>12</v>
      </c>
      <c r="Q21">
        <v>2</v>
      </c>
    </row>
    <row r="22" spans="1:17" x14ac:dyDescent="0.3">
      <c r="C22" s="7">
        <f>AVERAGE(C2:C21)</f>
        <v>3.7</v>
      </c>
      <c r="D22" s="7">
        <f t="shared" ref="D22:O22" si="1">AVERAGE(D2:D21)</f>
        <v>3.55</v>
      </c>
      <c r="E22" s="7">
        <f t="shared" si="1"/>
        <v>2.6</v>
      </c>
      <c r="F22" s="7">
        <f t="shared" si="1"/>
        <v>2.8</v>
      </c>
      <c r="G22" s="7">
        <f t="shared" si="1"/>
        <v>3</v>
      </c>
      <c r="H22" s="7">
        <f t="shared" si="1"/>
        <v>2.5</v>
      </c>
      <c r="I22" s="7">
        <f t="shared" si="1"/>
        <v>2.15</v>
      </c>
      <c r="J22" s="7">
        <f t="shared" si="1"/>
        <v>2.1</v>
      </c>
      <c r="K22" s="7">
        <f t="shared" si="1"/>
        <v>2.5499999999999998</v>
      </c>
      <c r="L22" s="7">
        <f t="shared" si="1"/>
        <v>3.8</v>
      </c>
      <c r="M22" s="7">
        <f t="shared" si="1"/>
        <v>3.9</v>
      </c>
      <c r="N22" s="7">
        <f t="shared" si="1"/>
        <v>3.25</v>
      </c>
      <c r="O22" s="7">
        <f t="shared" si="1"/>
        <v>2.6166666666666663</v>
      </c>
      <c r="P22">
        <f>SUM(P2:P21)</f>
        <v>841</v>
      </c>
      <c r="Q22">
        <f>SUM(Q2:Q21)</f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8</vt:i4>
      </vt:variant>
    </vt:vector>
  </HeadingPairs>
  <TitlesOfParts>
    <vt:vector size="8" baseType="lpstr">
      <vt:lpstr>12_G</vt:lpstr>
      <vt:lpstr>Napló</vt:lpstr>
      <vt:lpstr>Igazolványok</vt:lpstr>
      <vt:lpstr>A hét</vt:lpstr>
      <vt:lpstr>B hét</vt:lpstr>
      <vt:lpstr>I. Félév</vt:lpstr>
      <vt:lpstr>12_félév</vt:lpstr>
      <vt:lpstr>Munka1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Apu</dc:creator>
  <cp:lastModifiedBy>Apu</cp:lastModifiedBy>
  <cp:lastPrinted>2014-09-01T15:26:40Z</cp:lastPrinted>
  <dcterms:created xsi:type="dcterms:W3CDTF">2013-08-30T06:02:52Z</dcterms:created>
  <dcterms:modified xsi:type="dcterms:W3CDTF">2020-02-06T11:13:16Z</dcterms:modified>
</cp:coreProperties>
</file>